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Logsheet\"/>
    </mc:Choice>
  </mc:AlternateContent>
  <bookViews>
    <workbookView xWindow="0" yWindow="2880" windowWidth="17970" windowHeight="65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5" i="1" l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A71" i="1" l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A30" i="1" l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E26" i="1" l="1"/>
  <c r="E27" i="1"/>
  <c r="E28" i="1"/>
  <c r="A19" i="1" l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A26" i="1"/>
  <c r="B26" i="1"/>
  <c r="C26" i="1"/>
  <c r="D26" i="1"/>
  <c r="F26" i="1"/>
  <c r="G26" i="1"/>
  <c r="H26" i="1"/>
  <c r="I26" i="1"/>
  <c r="J26" i="1"/>
  <c r="K26" i="1"/>
  <c r="L26" i="1"/>
  <c r="M26" i="1"/>
  <c r="N26" i="1"/>
  <c r="A27" i="1"/>
  <c r="B27" i="1"/>
  <c r="C27" i="1"/>
  <c r="D27" i="1"/>
  <c r="F27" i="1"/>
  <c r="G27" i="1"/>
  <c r="H27" i="1"/>
  <c r="I27" i="1"/>
  <c r="J27" i="1"/>
  <c r="K27" i="1"/>
  <c r="L27" i="1"/>
  <c r="M27" i="1"/>
  <c r="N27" i="1"/>
  <c r="A28" i="1"/>
  <c r="B28" i="1"/>
  <c r="C28" i="1"/>
  <c r="D28" i="1"/>
  <c r="F28" i="1"/>
  <c r="G28" i="1"/>
  <c r="H28" i="1"/>
  <c r="I28" i="1"/>
  <c r="J28" i="1"/>
  <c r="K28" i="1"/>
  <c r="L28" i="1"/>
  <c r="M28" i="1"/>
  <c r="N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A2" i="1" l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C3" i="1"/>
  <c r="D3" i="1"/>
  <c r="E3" i="1"/>
  <c r="F3" i="1"/>
  <c r="G3" i="1"/>
  <c r="H3" i="1"/>
  <c r="I3" i="1"/>
  <c r="J3" i="1"/>
  <c r="K3" i="1"/>
  <c r="L3" i="1"/>
  <c r="M3" i="1"/>
  <c r="N3" i="1"/>
  <c r="C4" i="1"/>
  <c r="D4" i="1"/>
  <c r="E4" i="1"/>
  <c r="F4" i="1"/>
  <c r="G4" i="1"/>
  <c r="H4" i="1"/>
  <c r="I4" i="1"/>
  <c r="J4" i="1"/>
  <c r="K4" i="1"/>
  <c r="L4" i="1"/>
  <c r="M4" i="1"/>
  <c r="N4" i="1"/>
  <c r="C5" i="1"/>
  <c r="D5" i="1"/>
  <c r="E5" i="1"/>
  <c r="F5" i="1"/>
  <c r="G5" i="1"/>
  <c r="H5" i="1"/>
  <c r="I5" i="1"/>
  <c r="J5" i="1"/>
  <c r="K5" i="1"/>
  <c r="L5" i="1"/>
  <c r="M5" i="1"/>
  <c r="N5" i="1"/>
  <c r="C6" i="1"/>
  <c r="D6" i="1"/>
  <c r="E6" i="1"/>
  <c r="F6" i="1"/>
  <c r="G6" i="1"/>
  <c r="H6" i="1"/>
  <c r="I6" i="1"/>
  <c r="J6" i="1"/>
  <c r="K6" i="1"/>
  <c r="L6" i="1"/>
  <c r="M6" i="1"/>
  <c r="N6" i="1"/>
  <c r="C7" i="1"/>
  <c r="D7" i="1"/>
  <c r="E7" i="1"/>
  <c r="F7" i="1"/>
  <c r="G7" i="1"/>
  <c r="H7" i="1"/>
  <c r="I7" i="1"/>
  <c r="J7" i="1"/>
  <c r="K7" i="1"/>
  <c r="L7" i="1"/>
  <c r="M7" i="1"/>
  <c r="N7" i="1"/>
  <c r="C8" i="1"/>
  <c r="D8" i="1"/>
  <c r="E8" i="1"/>
  <c r="F8" i="1"/>
  <c r="G8" i="1"/>
  <c r="H8" i="1"/>
  <c r="I8" i="1"/>
  <c r="J8" i="1"/>
  <c r="K8" i="1"/>
  <c r="L8" i="1"/>
  <c r="M8" i="1"/>
  <c r="N8" i="1"/>
  <c r="C9" i="1"/>
  <c r="D9" i="1"/>
  <c r="E9" i="1"/>
  <c r="F9" i="1"/>
  <c r="G9" i="1"/>
  <c r="H9" i="1"/>
  <c r="I9" i="1"/>
  <c r="J9" i="1"/>
  <c r="K9" i="1"/>
  <c r="L9" i="1"/>
  <c r="M9" i="1"/>
  <c r="N9" i="1"/>
  <c r="C10" i="1"/>
  <c r="D10" i="1"/>
  <c r="E10" i="1"/>
  <c r="F10" i="1"/>
  <c r="G10" i="1"/>
  <c r="H10" i="1"/>
  <c r="I10" i="1"/>
  <c r="J10" i="1"/>
  <c r="K10" i="1"/>
  <c r="L10" i="1"/>
  <c r="M10" i="1"/>
  <c r="N10" i="1"/>
  <c r="C11" i="1"/>
  <c r="D11" i="1"/>
  <c r="E11" i="1"/>
  <c r="F11" i="1"/>
  <c r="G11" i="1"/>
  <c r="H11" i="1"/>
  <c r="I11" i="1"/>
  <c r="J11" i="1"/>
  <c r="K11" i="1"/>
  <c r="L11" i="1"/>
  <c r="M11" i="1"/>
  <c r="N11" i="1"/>
  <c r="C12" i="1"/>
  <c r="D12" i="1"/>
  <c r="E12" i="1"/>
  <c r="F12" i="1"/>
  <c r="G12" i="1"/>
  <c r="H12" i="1"/>
  <c r="I12" i="1"/>
  <c r="J12" i="1"/>
  <c r="K12" i="1"/>
  <c r="L12" i="1"/>
  <c r="M12" i="1"/>
  <c r="N12" i="1"/>
  <c r="C13" i="1"/>
  <c r="D13" i="1"/>
  <c r="E13" i="1"/>
  <c r="F13" i="1"/>
  <c r="G13" i="1"/>
  <c r="H13" i="1"/>
  <c r="I13" i="1"/>
  <c r="J13" i="1"/>
  <c r="K13" i="1"/>
  <c r="L13" i="1"/>
  <c r="M13" i="1"/>
  <c r="N13" i="1"/>
  <c r="C14" i="1"/>
  <c r="D14" i="1"/>
  <c r="E14" i="1"/>
  <c r="F14" i="1"/>
  <c r="G14" i="1"/>
  <c r="H14" i="1"/>
  <c r="I14" i="1"/>
  <c r="J14" i="1"/>
  <c r="K14" i="1"/>
  <c r="L14" i="1"/>
  <c r="M14" i="1"/>
  <c r="N14" i="1"/>
  <c r="C15" i="1"/>
  <c r="D15" i="1"/>
  <c r="E15" i="1"/>
  <c r="F15" i="1"/>
  <c r="G15" i="1"/>
  <c r="H15" i="1"/>
  <c r="I15" i="1"/>
  <c r="J15" i="1"/>
  <c r="K15" i="1"/>
  <c r="L15" i="1"/>
  <c r="M15" i="1"/>
  <c r="N15" i="1"/>
  <c r="C16" i="1"/>
  <c r="D16" i="1"/>
  <c r="E16" i="1"/>
  <c r="F16" i="1"/>
  <c r="G16" i="1"/>
  <c r="H16" i="1"/>
  <c r="I16" i="1"/>
  <c r="J16" i="1"/>
  <c r="K16" i="1"/>
  <c r="L16" i="1"/>
  <c r="M16" i="1"/>
  <c r="N16" i="1"/>
  <c r="C17" i="1"/>
  <c r="D17" i="1"/>
  <c r="E17" i="1"/>
  <c r="F17" i="1"/>
  <c r="G17" i="1"/>
  <c r="H17" i="1"/>
  <c r="I17" i="1"/>
  <c r="J17" i="1"/>
  <c r="K17" i="1"/>
  <c r="L17" i="1"/>
  <c r="M17" i="1"/>
  <c r="N17" i="1"/>
  <c r="C18" i="1"/>
  <c r="D18" i="1"/>
  <c r="E18" i="1"/>
  <c r="F18" i="1"/>
  <c r="G18" i="1"/>
  <c r="H18" i="1"/>
  <c r="I18" i="1"/>
  <c r="J18" i="1"/>
  <c r="K18" i="1"/>
  <c r="L18" i="1"/>
  <c r="M18" i="1"/>
  <c r="N18" i="1"/>
  <c r="B11" i="1"/>
  <c r="B12" i="1"/>
  <c r="B13" i="1"/>
  <c r="B14" i="1"/>
  <c r="B15" i="1"/>
  <c r="B16" i="1"/>
  <c r="B17" i="1"/>
  <c r="B18" i="1"/>
  <c r="B3" i="1"/>
  <c r="B4" i="1"/>
  <c r="B5" i="1"/>
  <c r="B6" i="1"/>
  <c r="B7" i="1"/>
  <c r="B8" i="1"/>
  <c r="B9" i="1"/>
  <c r="B10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<sst xmlns="http://schemas.openxmlformats.org/spreadsheetml/2006/main" count="1272" uniqueCount="539">
  <si>
    <t>Datetime</t>
  </si>
  <si>
    <t>Customer name</t>
  </si>
  <si>
    <t>Customer Phone</t>
  </si>
  <si>
    <t>Customer City</t>
  </si>
  <si>
    <t>Agent</t>
  </si>
  <si>
    <t>Q1</t>
  </si>
  <si>
    <t>Q2</t>
  </si>
  <si>
    <t>Model</t>
  </si>
  <si>
    <t>i-Detail</t>
  </si>
  <si>
    <t>Action Detail</t>
  </si>
  <si>
    <t>Remark</t>
  </si>
  <si>
    <t>Category</t>
  </si>
  <si>
    <t>System Code</t>
  </si>
  <si>
    <t>Code</t>
  </si>
  <si>
    <t>Aliahmad</t>
  </si>
  <si>
    <t>b</t>
  </si>
  <si>
    <t>3a</t>
  </si>
  <si>
    <t>Repair/Notification Request</t>
  </si>
  <si>
    <t>Andi</t>
  </si>
  <si>
    <t>a</t>
  </si>
  <si>
    <t>Room Air Con</t>
  </si>
  <si>
    <t>Washing M.Twin Tub Local</t>
  </si>
  <si>
    <t>2a</t>
  </si>
  <si>
    <t>Usage Explanation</t>
  </si>
  <si>
    <t>tidak dingin</t>
  </si>
  <si>
    <t>Reff 2D Local</t>
  </si>
  <si>
    <t>Tidak dingin</t>
  </si>
  <si>
    <t>Reff 1D Local</t>
  </si>
  <si>
    <t>Abizar</t>
  </si>
  <si>
    <t>Anwar</t>
  </si>
  <si>
    <t>LED 32"</t>
  </si>
  <si>
    <t>Jawa Timur</t>
  </si>
  <si>
    <t>Jawa Barat</t>
  </si>
  <si>
    <t>Jakarta</t>
  </si>
  <si>
    <t>Date/Time</t>
  </si>
  <si>
    <t>Customer Name</t>
  </si>
  <si>
    <t>Phone No.</t>
  </si>
  <si>
    <t>Province/City</t>
  </si>
  <si>
    <t>a-Detail</t>
  </si>
  <si>
    <t>Saran</t>
  </si>
  <si>
    <t>3m</t>
  </si>
  <si>
    <t>Repair Request (Branch)</t>
  </si>
  <si>
    <t>Reff 2D Import</t>
  </si>
  <si>
    <t>Water Dispenser Bottom Loading</t>
  </si>
  <si>
    <t>hg</t>
  </si>
  <si>
    <t>Washing M.Auto</t>
  </si>
  <si>
    <t>Sumatera Selatan</t>
  </si>
  <si>
    <t>3q</t>
  </si>
  <si>
    <t>Repair Request (SDSS / SSR)</t>
  </si>
  <si>
    <t>mati total</t>
  </si>
  <si>
    <t>HG</t>
  </si>
  <si>
    <t>mg</t>
  </si>
  <si>
    <t>Sumatera Utara</t>
  </si>
  <si>
    <t>Zardi</t>
  </si>
  <si>
    <t>ES-F950P-GY</t>
  </si>
  <si>
    <t>SJ-IG762PM-SL</t>
  </si>
  <si>
    <t>Jawa Tengah</t>
  </si>
  <si>
    <t>Dina</t>
  </si>
  <si>
    <t>air tidak naik</t>
  </si>
  <si>
    <t>LED 46"~59"</t>
  </si>
  <si>
    <t>SJ-316MG-GB</t>
  </si>
  <si>
    <t>AH-A5UCY</t>
  </si>
  <si>
    <t>Fauzi</t>
  </si>
  <si>
    <t>Pemi</t>
  </si>
  <si>
    <t>Hg</t>
  </si>
  <si>
    <t>LED &lt; 32"</t>
  </si>
  <si>
    <t>Dewi /Ibu</t>
  </si>
  <si>
    <t>SWD-78EHL-SL</t>
  </si>
  <si>
    <t>Microwave Ovens</t>
  </si>
  <si>
    <t>R-21D0(S)-IN</t>
  </si>
  <si>
    <t>tidak panas</t>
  </si>
  <si>
    <t>ES-H858T-GY</t>
  </si>
  <si>
    <t>hg/ telp dulu</t>
  </si>
  <si>
    <t>Nonz2</t>
  </si>
  <si>
    <t>air tidak terbuang</t>
  </si>
  <si>
    <t>hg / telp dl</t>
  </si>
  <si>
    <t>mg / telp dl</t>
  </si>
  <si>
    <t>Rika /Ibu</t>
  </si>
  <si>
    <t>Sulawesi Selatan</t>
  </si>
  <si>
    <t>LC-32LE430M</t>
  </si>
  <si>
    <t>Bocor</t>
  </si>
  <si>
    <t>mg (Non Z2)</t>
  </si>
  <si>
    <t>Dinda</t>
  </si>
  <si>
    <t>Dino</t>
  </si>
  <si>
    <t>LED 37"~42"</t>
  </si>
  <si>
    <t>mati</t>
  </si>
  <si>
    <t>Bali</t>
  </si>
  <si>
    <t>Daerah Istimewa Yogyakarta</t>
  </si>
  <si>
    <t>Fahmi</t>
  </si>
  <si>
    <t>LCD 32"</t>
  </si>
  <si>
    <t>Sumatera Barat</t>
  </si>
  <si>
    <t>bunyi berisik</t>
  </si>
  <si>
    <t>2T-C42BG1I</t>
  </si>
  <si>
    <t>ES-R82KY-G</t>
  </si>
  <si>
    <t>Franscisco</t>
  </si>
  <si>
    <t>hg/tlp dl</t>
  </si>
  <si>
    <t>Kepulauan Riau</t>
  </si>
  <si>
    <t>Helmy</t>
  </si>
  <si>
    <t>Eva /ibu</t>
  </si>
  <si>
    <t>CUCI AC</t>
  </si>
  <si>
    <t>ES-FL1082</t>
  </si>
  <si>
    <t>program error</t>
  </si>
  <si>
    <t>Nurdiansyah</t>
  </si>
  <si>
    <t>hg/nonz2</t>
  </si>
  <si>
    <t>Stenly</t>
  </si>
  <si>
    <t>AH-A9UCY</t>
  </si>
  <si>
    <t>Mg</t>
  </si>
  <si>
    <t>ES-T65MW-BK</t>
  </si>
  <si>
    <t>SWD-72EHL-BK</t>
  </si>
  <si>
    <t>Thasia</t>
  </si>
  <si>
    <t>2T-C32BG1I</t>
  </si>
  <si>
    <t>2T-C32BA1I</t>
  </si>
  <si>
    <t>nonz2</t>
  </si>
  <si>
    <t>Washing M.Auto Local</t>
  </si>
  <si>
    <t>ES-M909T-GG</t>
  </si>
  <si>
    <t>SWD-70EH-BK</t>
  </si>
  <si>
    <t>None</t>
  </si>
  <si>
    <t>Indra</t>
  </si>
  <si>
    <t>Lulu</t>
  </si>
  <si>
    <t>Mariana</t>
  </si>
  <si>
    <t>Pras</t>
  </si>
  <si>
    <t>Rahma</t>
  </si>
  <si>
    <t>Ratih</t>
  </si>
  <si>
    <t>Ucup</t>
  </si>
  <si>
    <t>Gorontalo</t>
  </si>
  <si>
    <t>AH-AP9UHL</t>
  </si>
  <si>
    <t>Via Bp Yulian</t>
  </si>
  <si>
    <t>202951389 3349359 ROBOT1</t>
  </si>
  <si>
    <t>Vika Mandasari /Ibu</t>
  </si>
  <si>
    <t>202952006 PEMI</t>
  </si>
  <si>
    <t>mg pemb 21.12.2020/ via wa 085210181394</t>
  </si>
  <si>
    <t>Iin Hartono /Ibu</t>
  </si>
  <si>
    <t>bunyi berisik dan body panas</t>
  </si>
  <si>
    <t>202952150 3349971 ROBOT1</t>
  </si>
  <si>
    <t>hg/ model sementara</t>
  </si>
  <si>
    <t>Tedy Setiawan /bp</t>
  </si>
  <si>
    <t>AH-AP9HMY</t>
  </si>
  <si>
    <t>202951448 3349478 ROBOT1</t>
  </si>
  <si>
    <t>hg / minta cepat / 0818803522</t>
  </si>
  <si>
    <t>Umi /ibu (SDSS 10B1)</t>
  </si>
  <si>
    <t>AH-A5SAY</t>
  </si>
  <si>
    <t>202951488 3349503 ROBOT1</t>
  </si>
  <si>
    <t>mg / via Bagus elek/tk 085893736548 dg Bp.Agus</t>
  </si>
  <si>
    <t>Sihombing /ibu</t>
  </si>
  <si>
    <t>2T-C50AE1I</t>
  </si>
  <si>
    <t>Channel hilang/error</t>
  </si>
  <si>
    <t>BATAL UNIT SUDAH NORMAL (Anna)</t>
  </si>
  <si>
    <t>Susilo /bp</t>
  </si>
  <si>
    <t>Kalimantan Timur</t>
  </si>
  <si>
    <t>Freezer</t>
  </si>
  <si>
    <t>FJ-M195N-SS</t>
  </si>
  <si>
    <t>202950826 3348224 ROBOT1</t>
  </si>
  <si>
    <t>mg/ telp dulu</t>
  </si>
  <si>
    <t>ratna /ibu</t>
  </si>
  <si>
    <t>Wash tidak fungsi</t>
  </si>
  <si>
    <t>202951057 3349026 ROBOT1</t>
  </si>
  <si>
    <t>Syahril /bp</t>
  </si>
  <si>
    <t>SJ-X197MG-DB</t>
  </si>
  <si>
    <t>setelah beku mencair kembali</t>
  </si>
  <si>
    <t>disarankan gunakan stavolt guna menstabilkan voltage</t>
  </si>
  <si>
    <t>Ita Dwihita /ibu</t>
  </si>
  <si>
    <t>ES-FL1073W</t>
  </si>
  <si>
    <t>listrik turun terus</t>
  </si>
  <si>
    <t>202957733 RATIH</t>
  </si>
  <si>
    <t>mg/minta pak abet 081220235602</t>
  </si>
  <si>
    <t>Risa /Bp (SDSS 10B1)</t>
  </si>
  <si>
    <t>LC-24LE155M</t>
  </si>
  <si>
    <t>mati stanby</t>
  </si>
  <si>
    <t>202963822 3361956 ROBOT1</t>
  </si>
  <si>
    <t>Mulyono /bp</t>
  </si>
  <si>
    <t>Banten</t>
  </si>
  <si>
    <t>2T-C50AD1I</t>
  </si>
  <si>
    <t>gambar mengecil dan redup</t>
  </si>
  <si>
    <t>202973531 2727571 ROBOT1</t>
  </si>
  <si>
    <t>MG</t>
  </si>
  <si>
    <t>Ayunda</t>
  </si>
  <si>
    <t>Royadi / Bp</t>
  </si>
  <si>
    <t>AH-A5UCYN</t>
  </si>
  <si>
    <t>tidak dingin + bocor freon</t>
  </si>
  <si>
    <t>202951154 3349080 ROBOT1</t>
  </si>
  <si>
    <t>mg / hub juga 0895343265449 / via utama jaya /tk 085223936568 dg pak andi</t>
  </si>
  <si>
    <t>HANI HANDAYANI / IBBU</t>
  </si>
  <si>
    <t>MATI TOTAL</t>
  </si>
  <si>
    <t>- 32A7Z22101214;D2130532 - CTI2CSMS</t>
  </si>
  <si>
    <t>Mg / telp juga 082211533311</t>
  </si>
  <si>
    <t>mega /ibu</t>
  </si>
  <si>
    <t>ES-T95CL-BK</t>
  </si>
  <si>
    <t>202951291 3349217 ROBOT1</t>
  </si>
  <si>
    <t>hg / bisa hub via wa 08119933898</t>
  </si>
  <si>
    <t>Rafi /bp</t>
  </si>
  <si>
    <t>ES-FL1491XW</t>
  </si>
  <si>
    <t>air bocor dari bawah</t>
  </si>
  <si>
    <t>202952332 2484057 ROBOT1</t>
  </si>
  <si>
    <t>Fajar Sidik /bp</t>
  </si>
  <si>
    <t>SJ-N192D-AB</t>
  </si>
  <si>
    <t>202952361 3350224 ROBOT1</t>
  </si>
  <si>
    <t>Cici /ibu</t>
  </si>
  <si>
    <t>Color TV 21" Slim Flat</t>
  </si>
  <si>
    <t>21DS350E2</t>
  </si>
  <si>
    <t>tanya pasword</t>
  </si>
  <si>
    <t>2398 /0000</t>
  </si>
  <si>
    <t>Dinar</t>
  </si>
  <si>
    <t>Martinus /bp</t>
  </si>
  <si>
    <t>AH-AP9NSY</t>
  </si>
  <si>
    <t>lampu kulkas mati</t>
  </si>
  <si>
    <t>Helmy/dinar</t>
  </si>
  <si>
    <t>syahrir /Bp</t>
  </si>
  <si>
    <t>ES-T80MW-HK</t>
  </si>
  <si>
    <t>spin tidak berputar</t>
  </si>
  <si>
    <t>202950676 3348647 ROBOT1</t>
  </si>
  <si>
    <t>2T-C50BG1I</t>
  </si>
  <si>
    <t>layar berwarna hijau</t>
  </si>
  <si>
    <t>202950713 3348670 ROBOT1</t>
  </si>
  <si>
    <t>mg /25 juli 2021</t>
  </si>
  <si>
    <t>Moch Agus Taksiono /Bp</t>
  </si>
  <si>
    <t>202952122 3349939 ROBOT1</t>
  </si>
  <si>
    <t>VIA EMAIL</t>
  </si>
  <si>
    <t>Darsono /Bp</t>
  </si>
  <si>
    <t>SWD-65EH-GB</t>
  </si>
  <si>
    <t>202962500 2734854 ROBOT1</t>
  </si>
  <si>
    <t>Iman Rahmatulloh /bp</t>
  </si>
  <si>
    <t>ES-G885S-G</t>
  </si>
  <si>
    <t>spin tidak fungsi</t>
  </si>
  <si>
    <t>202961317 1719877 ROBOT1</t>
  </si>
  <si>
    <t>hg - via sharp id</t>
  </si>
  <si>
    <t>Arif /bp</t>
  </si>
  <si>
    <t>ES-FL860S</t>
  </si>
  <si>
    <t>mati total/acc ganti pcb</t>
  </si>
  <si>
    <t>202965591 RATIH</t>
  </si>
  <si>
    <t>hg tlp dlu</t>
  </si>
  <si>
    <t>Biring /ibu</t>
  </si>
  <si>
    <t>SJ-305MD-FW</t>
  </si>
  <si>
    <t>bawah tidak dingin</t>
  </si>
  <si>
    <t>202967245 1297091 ROBOT1</t>
  </si>
  <si>
    <t>nonz2 hg tlp dlu urgent</t>
  </si>
  <si>
    <t>Simon Rumumba /Bp</t>
  </si>
  <si>
    <t>2T-C42BD1I</t>
  </si>
  <si>
    <t>- 21A2Z22140626;D2132499 - CTI2CSMS</t>
  </si>
  <si>
    <t>Pemb.25/12/20 Via Wa</t>
  </si>
  <si>
    <t>Elsa</t>
  </si>
  <si>
    <t>Risma /Ibu</t>
  </si>
  <si>
    <t>SWD-68EH-BK</t>
  </si>
  <si>
    <t>Mati total</t>
  </si>
  <si>
    <t>202964784 3362916 ROBOT1</t>
  </si>
  <si>
    <t>hg / tlp dl</t>
  </si>
  <si>
    <t>dede sulaiman /Bp</t>
  </si>
  <si>
    <t>SJ-195MD-US</t>
  </si>
  <si>
    <t>202964724 3362885 ROBOT1</t>
  </si>
  <si>
    <t>hg / model sementara / via tk agen bahagia cikarang dng luna 087879170668</t>
  </si>
  <si>
    <t>Cakra /Bp</t>
  </si>
  <si>
    <t>SJ-450GP-SD</t>
  </si>
  <si>
    <t>bunyi berisik di belakang</t>
  </si>
  <si>
    <t>202967560 3365804 ROBOT1</t>
  </si>
  <si>
    <t>mg / tlp dl</t>
  </si>
  <si>
    <t>Eva</t>
  </si>
  <si>
    <t>Linda /ibu</t>
  </si>
  <si>
    <t>ES-T96CL-HK</t>
  </si>
  <si>
    <t>putaran lambat</t>
  </si>
  <si>
    <t>202961967 3351956 ROBOT1</t>
  </si>
  <si>
    <t>Mg/ tlp dlu/URGENT/ Minta kunj tgl 18.08.2021</t>
  </si>
  <si>
    <t>Ririn /Ibu</t>
  </si>
  <si>
    <t>ES-T65MW-GK</t>
  </si>
  <si>
    <t>Air Keluar terus</t>
  </si>
  <si>
    <t>202967717 3365892 ROBOT1</t>
  </si>
  <si>
    <t>mg /tlp dlu</t>
  </si>
  <si>
    <t>Alin /ibu</t>
  </si>
  <si>
    <t>Riau</t>
  </si>
  <si>
    <t>SJ-326XG-MS</t>
  </si>
  <si>
    <t>Bocor Air</t>
  </si>
  <si>
    <t>202968510 3366669 ROBOT1</t>
  </si>
  <si>
    <t>Mg /Tlp dl /Model sementara</t>
  </si>
  <si>
    <t>Dindin /Bp</t>
  </si>
  <si>
    <t>LC-32L407I</t>
  </si>
  <si>
    <t>tidak ada gambar</t>
  </si>
  <si>
    <t>202961371 3359395 ROBOT1</t>
  </si>
  <si>
    <t>hg/ telp dulu/ online 9 menit</t>
  </si>
  <si>
    <t>devina /ibu</t>
  </si>
  <si>
    <t>LC-24LE170I</t>
  </si>
  <si>
    <t>202968210 3366271 ROBOT1</t>
  </si>
  <si>
    <t>mg/ telp dulu/ laporan via nomor toko 082112330002</t>
  </si>
  <si>
    <t>Dila /Ibu</t>
  </si>
  <si>
    <t>SJ-N182D-VB</t>
  </si>
  <si>
    <t>202966792 3364794 ROBOT1</t>
  </si>
  <si>
    <t>Risda /Ibu</t>
  </si>
  <si>
    <t>layar bergaris</t>
  </si>
  <si>
    <t>202955616 3353638 ROBOT1</t>
  </si>
  <si>
    <t>Minto /bp</t>
  </si>
  <si>
    <t>202966333 3364490 ROBOT1</t>
  </si>
  <si>
    <t>Jessica /Ibu</t>
  </si>
  <si>
    <t>ES-T1490WA-BL</t>
  </si>
  <si>
    <t>wash berisik</t>
  </si>
  <si>
    <t>202966286 3364465 ROBOT1</t>
  </si>
  <si>
    <t>Firas</t>
  </si>
  <si>
    <t>Riko /Bp</t>
  </si>
  <si>
    <t>SJ-X185M-SR</t>
  </si>
  <si>
    <t>202961922 3359885 ROBOT1</t>
  </si>
  <si>
    <t>hg / telp dl / URGENT</t>
  </si>
  <si>
    <t>Tanti /Ibu</t>
  </si>
  <si>
    <t>air kran tidak keluar</t>
  </si>
  <si>
    <t>202961944 2447225 ROBOT1</t>
  </si>
  <si>
    <t>hg / telp dl / tambahan wash tidak berfungsi /URGENT</t>
  </si>
  <si>
    <t>Dwi /Ibu</t>
  </si>
  <si>
    <t>LC-50LE275X</t>
  </si>
  <si>
    <t>mati standby</t>
  </si>
  <si>
    <t>202960866 3358881 ROBOT1</t>
  </si>
  <si>
    <t>M Muklis /bp</t>
  </si>
  <si>
    <t>SWD-70EHL-SL</t>
  </si>
  <si>
    <t>CANCEL, mau ke luar kota</t>
  </si>
  <si>
    <t>Kusnandar / Bp</t>
  </si>
  <si>
    <t>ES-FL1280BX</t>
  </si>
  <si>
    <t>tidak mutar</t>
  </si>
  <si>
    <t>202965330 RATIH</t>
  </si>
  <si>
    <t>putut wahyudi /bp</t>
  </si>
  <si>
    <t>AH-AP5UHL</t>
  </si>
  <si>
    <t>cuci AC</t>
  </si>
  <si>
    <t>202974281 2422011 ROBOT1</t>
  </si>
  <si>
    <t>hg/tlp dl/minta cek juga</t>
  </si>
  <si>
    <t>cuci ac (sabtu 21.8.21)</t>
  </si>
  <si>
    <t>202964525 3122713 ROBOT1</t>
  </si>
  <si>
    <t>Notje /bp</t>
  </si>
  <si>
    <t>SJ-P710NLV-SL</t>
  </si>
  <si>
    <t>tidak dingin (minta cepat)</t>
  </si>
  <si>
    <t>202961453 2442159 ROBOT1</t>
  </si>
  <si>
    <t>hg / urgent</t>
  </si>
  <si>
    <t>Astri Hardiyanti /ibu</t>
  </si>
  <si>
    <t>202961397 1749006 ROBOT1</t>
  </si>
  <si>
    <t>hg / nonz2</t>
  </si>
  <si>
    <t>Fitrika hestin /Ibu</t>
  </si>
  <si>
    <t>2T-C32BD1I-TG</t>
  </si>
  <si>
    <t>- 14A7Z22100914;D2132417 - CTI2CSMS</t>
  </si>
  <si>
    <t>mg. tgl beli 5 mei 2021</t>
  </si>
  <si>
    <t>Meyrliana labuang /ibu</t>
  </si>
  <si>
    <t>Program error</t>
  </si>
  <si>
    <t>- 31A0Z22100690;D2132430 - CTI2CSMS</t>
  </si>
  <si>
    <t>Agiarudin /bp</t>
  </si>
  <si>
    <t>Nusa Tenggara Barat</t>
  </si>
  <si>
    <t>SJ-X187MG-DB</t>
  </si>
  <si>
    <t>Kompresor bunyi kasar</t>
  </si>
  <si>
    <t>- 20B0Z22101015;D2133787 - CTI2CSMS</t>
  </si>
  <si>
    <t>mg.sdh penjelasan/NONZ2</t>
  </si>
  <si>
    <t>Della /Ibu</t>
  </si>
  <si>
    <t>ES-M906P-GBK</t>
  </si>
  <si>
    <t>Proram error</t>
  </si>
  <si>
    <t>202971881 3370136 ROBOT1</t>
  </si>
  <si>
    <t>Anisa /Ibu</t>
  </si>
  <si>
    <t>ES-T1090-VK</t>
  </si>
  <si>
    <t>Bunyi berisik</t>
  </si>
  <si>
    <t>- 13B1Z22141304;D2133540 - CTI2CSMS</t>
  </si>
  <si>
    <t>mg /Tlpn.dulu</t>
  </si>
  <si>
    <t>Nuriani /Ibu</t>
  </si>
  <si>
    <t>SJ-P561NLV-SL</t>
  </si>
  <si>
    <t>Lampu mati</t>
  </si>
  <si>
    <t>- 28A7Z22100602;D2133785 - CTI2CSMS</t>
  </si>
  <si>
    <t>Malik</t>
  </si>
  <si>
    <t>Togu /bp</t>
  </si>
  <si>
    <t>ES-H758T-GY</t>
  </si>
  <si>
    <t>eror e2</t>
  </si>
  <si>
    <t>202963577 3361745 ROBOT1</t>
  </si>
  <si>
    <t>Arif nugroho /bp</t>
  </si>
  <si>
    <t>tidak berputar</t>
  </si>
  <si>
    <t>202973709 3372175 ROBOT1</t>
  </si>
  <si>
    <t>hg / hub</t>
  </si>
  <si>
    <t>sasmita /ibu</t>
  </si>
  <si>
    <t>suara pecah</t>
  </si>
  <si>
    <t>202969960 3368166 ROBOT1</t>
  </si>
  <si>
    <t>Sarial /Bp</t>
  </si>
  <si>
    <t>Nanggroe Aceh Darussalam</t>
  </si>
  <si>
    <t>ES-T90MW-BK</t>
  </si>
  <si>
    <t>- 24A1Z22100799;D2132583 - CTI2CSMS</t>
  </si>
  <si>
    <t>mg/beli 21.8.20</t>
  </si>
  <si>
    <t>Tirta /Bp</t>
  </si>
  <si>
    <t>Kalimantan Tengah</t>
  </si>
  <si>
    <t>ES-T85CR-VK</t>
  </si>
  <si>
    <t>air terbuang terus</t>
  </si>
  <si>
    <t>- 22B0Z22100503;D2133740 - CTI2CSMS</t>
  </si>
  <si>
    <t>masdawati /ibu</t>
  </si>
  <si>
    <t>Sulawesi Barat</t>
  </si>
  <si>
    <t>ES-N85KY-G</t>
  </si>
  <si>
    <t>- 28A5Z22100742;D2133780 - CTI2CSMS</t>
  </si>
  <si>
    <t>Vivien /ibu</t>
  </si>
  <si>
    <t>SJ-P851NLV-BE</t>
  </si>
  <si>
    <t>202966309 3364462 ROBOT1</t>
  </si>
  <si>
    <t>nita /ibu (st12b0)</t>
  </si>
  <si>
    <t>proses drain error</t>
  </si>
  <si>
    <t>202966275 3364446 ROBOT1</t>
  </si>
  <si>
    <t>afong /ibu</t>
  </si>
  <si>
    <t>fan indoor mati</t>
  </si>
  <si>
    <t>202966467 3364560 ROBOT1</t>
  </si>
  <si>
    <t>Okti</t>
  </si>
  <si>
    <t>Vanesha /Ibu</t>
  </si>
  <si>
    <t>Mati total/Cek garansi</t>
  </si>
  <si>
    <t>202962393 3360567 ROBOT1</t>
  </si>
  <si>
    <t>Nur /Ibu</t>
  </si>
  <si>
    <t>SJ-X167MG-DB</t>
  </si>
  <si>
    <t>Bunyi berisik/URGENT</t>
  </si>
  <si>
    <t>- 17A1Z22100442;D2133046 - CTI2CSMS</t>
  </si>
  <si>
    <t>Melly /Ibu</t>
  </si>
  <si>
    <t>SJ-236MG-GR</t>
  </si>
  <si>
    <t>Ada bunga es terus/URGENT</t>
  </si>
  <si>
    <t>- 11A7Z22143147;D2133155 - CTI2CSMS</t>
  </si>
  <si>
    <t>Oliv</t>
  </si>
  <si>
    <t>Nani /ibu</t>
  </si>
  <si>
    <t>ES-T1070SJ-GR</t>
  </si>
  <si>
    <t>air tidak bisa buang</t>
  </si>
  <si>
    <t>202961291 3359355 ROBOT1</t>
  </si>
  <si>
    <t>mg / tlp dl /</t>
  </si>
  <si>
    <t>Karnita /ibu</t>
  </si>
  <si>
    <t>FR-G189-TS</t>
  </si>
  <si>
    <t>202965858 3364030 ROBOT1</t>
  </si>
  <si>
    <t>hg /tlp dl</t>
  </si>
  <si>
    <t>Wilda ninsih /Ibu</t>
  </si>
  <si>
    <t>202965498 3363734 ROBOT1</t>
  </si>
  <si>
    <t>mg /tlp dl /</t>
  </si>
  <si>
    <t>IGAS /IBU (SDSS 11B7)</t>
  </si>
  <si>
    <t>202950620 719596 ROBOT1</t>
  </si>
  <si>
    <t>Gs /rusak lagi (info konsumen di tanggal 17.7.2021 sudah dikenakan biaya service Rp.253.000 oleh teknisi</t>
  </si>
  <si>
    <t>Huni /Ibu</t>
  </si>
  <si>
    <t>202950621 3227193 ROBOT1</t>
  </si>
  <si>
    <t>Mg /NONZ2/ Pemb 20.11.2020</t>
  </si>
  <si>
    <t>Evi /Ibu</t>
  </si>
  <si>
    <t>SJ-315MD-FW</t>
  </si>
  <si>
    <t>202950656 2041399 ROBOT1</t>
  </si>
  <si>
    <t>Vivi/Ibu</t>
  </si>
  <si>
    <t>Tidak bisa menangkap sinyal remote</t>
  </si>
  <si>
    <t>202961989 3360034 ROBOT1</t>
  </si>
  <si>
    <t>MG / URGENT /tlp atau WA dulu 085363996654</t>
  </si>
  <si>
    <t>Tidak dingin / URGENT</t>
  </si>
  <si>
    <t>202970811 3364030 ROBOT1</t>
  </si>
  <si>
    <t>HG / URGENT Minta cepat /Perbaikan ada 2 unit dengan LR 202966089 kulkas / Tlp atau WA dulu 082391248224</t>
  </si>
  <si>
    <t>Ayu/Ibu</t>
  </si>
  <si>
    <t>LC-40SA5100I</t>
  </si>
  <si>
    <t>tidak bisa dimatikan dan simpan channel</t>
  </si>
  <si>
    <t>202970650 3368912 ROBOT1</t>
  </si>
  <si>
    <t>MG / URGENT /tlp atau WA dulu 085722101797</t>
  </si>
  <si>
    <t>Puji</t>
  </si>
  <si>
    <t>Ratna /Ibu</t>
  </si>
  <si>
    <t>BOCOR</t>
  </si>
  <si>
    <t>202963857 3361979 ROBOT1</t>
  </si>
  <si>
    <t>HG /TLP DL</t>
  </si>
  <si>
    <t>Yunda /Ibu</t>
  </si>
  <si>
    <t>TIDAK DINGIN</t>
  </si>
  <si>
    <t>202963755 3361919 ROBOT1</t>
  </si>
  <si>
    <t>hanifa /Ibu</t>
  </si>
  <si>
    <t>ES-G876P-GY</t>
  </si>
  <si>
    <t>NO DRAIN SPIN</t>
  </si>
  <si>
    <t>- 14A7Z22100957;D2133699 - CTI2CSMS</t>
  </si>
  <si>
    <t>MG /TLP DL</t>
  </si>
  <si>
    <t>Niko /Bp</t>
  </si>
  <si>
    <t>air tidak naik/baru beli 2 bulan</t>
  </si>
  <si>
    <t>saran cek pemasangan pompa apakah sudah sampai dasar apa belum</t>
  </si>
  <si>
    <t>Faqih /Bp</t>
  </si>
  <si>
    <t>SJ-236MN-HS</t>
  </si>
  <si>
    <t>saran restart kulkas</t>
  </si>
  <si>
    <t>Akbar /Bp</t>
  </si>
  <si>
    <t>Yuni /Ibu</t>
  </si>
  <si>
    <t>SJ-235MD-FB</t>
  </si>
  <si>
    <t>saran restart</t>
  </si>
  <si>
    <t>Wiji /ibu</t>
  </si>
  <si>
    <t>SJ-246XG-MR</t>
  </si>
  <si>
    <t>saran restart dan setting suhu freezer ke minimal</t>
  </si>
  <si>
    <t>Rifal /bp</t>
  </si>
  <si>
    <t>SJ-237MG-DB</t>
  </si>
  <si>
    <t>tidak dingin-bunyi</t>
  </si>
  <si>
    <t>Muttaqin /Bp</t>
  </si>
  <si>
    <t>LC-40SA5200I</t>
  </si>
  <si>
    <t>Tidak bisa simpan siaran</t>
  </si>
  <si>
    <t>- 15A8Z22141320;D2133092 - CTI2CSMS</t>
  </si>
  <si>
    <t>Sultan /Bp</t>
  </si>
  <si>
    <t>202961428 3359451 ROBOT1</t>
  </si>
  <si>
    <t>Faisal /Bp</t>
  </si>
  <si>
    <t>Wash tidak putar</t>
  </si>
  <si>
    <t>202961391 3359415 ROBOT1</t>
  </si>
  <si>
    <t>Subehan</t>
  </si>
  <si>
    <t>air tidak mau naik</t>
  </si>
  <si>
    <t>202961837 3359765 ROBOT1</t>
  </si>
  <si>
    <t>hg/Urgent</t>
  </si>
  <si>
    <t>Dedi /Bp</t>
  </si>
  <si>
    <t>SJ-X185MG-GR</t>
  </si>
  <si>
    <t>202965708 3363932 ROBOT1</t>
  </si>
  <si>
    <t>SANTOS /BP</t>
  </si>
  <si>
    <t>202964410 3358867 ROBOT1</t>
  </si>
  <si>
    <t>hg/urgent</t>
  </si>
  <si>
    <t>Taufik</t>
  </si>
  <si>
    <t>Dodi /bp</t>
  </si>
  <si>
    <t>Supply air yang rendah.</t>
  </si>
  <si>
    <t>mencoba cabut kelistrikan dan setting ulang. Tingkatkan supply air, Tekan MULAI/TUNDA. Buka keran air, tekan MULAI/TUNDA. Bersihkan filter, tekan MULAI/TUNDA.</t>
  </si>
  <si>
    <t>Taswin /Bp</t>
  </si>
  <si>
    <t>SWD-75EHL-BD</t>
  </si>
  <si>
    <t>setting watt</t>
  </si>
  <si>
    <t>watt minimal setting 185 menyarankan setting watt maximal setting di watt 385 untuk mengoptimalkan settingan suhu dispenser</t>
  </si>
  <si>
    <t>Cucu /ibu</t>
  </si>
  <si>
    <t>SJ-197ND-VP</t>
  </si>
  <si>
    <t>bunyi berisik/mendengkur</t>
  </si>
  <si>
    <t>hal tersebut normal bunyi terjadi karena proses penyuntikan gas freon ke evap dari pipa kapilernya yang terjadi di belakang frezer pada saat awal proses pendinginan/ hidup kompresor</t>
  </si>
  <si>
    <t>Tegar</t>
  </si>
  <si>
    <t>Aris /Bp</t>
  </si>
  <si>
    <t>ES-M1008T-SA</t>
  </si>
  <si>
    <t>air sangat kecil sekali</t>
  </si>
  <si>
    <t>202962530 3360650 ROBOT1</t>
  </si>
  <si>
    <t>MG /Via login store /tk dg bp tony 0226011014</t>
  </si>
  <si>
    <t>Anggi /Bp</t>
  </si>
  <si>
    <t>202962683 3360765 ROBOT1</t>
  </si>
  <si>
    <t>MG /Telp Dulu ke nomor 082319952781</t>
  </si>
  <si>
    <t>Imam /Bp</t>
  </si>
  <si>
    <t>LC-32SA4200I</t>
  </si>
  <si>
    <t>Layar tidak menyala</t>
  </si>
  <si>
    <t>Infokan untuk mencoba mematikan televisi terlebih dahulu selama 5-10 menit terlebih dahulu</t>
  </si>
  <si>
    <t>warna layar hitam-putih (kons minta saran penanganan pertama dahulu)</t>
  </si>
  <si>
    <t>sarankan untuk restart dahulu tvnya selama 15-30 menit</t>
  </si>
  <si>
    <t>NonZ2</t>
  </si>
  <si>
    <t>Yudi /Bp</t>
  </si>
  <si>
    <t>SJ-315GC-SS</t>
  </si>
  <si>
    <t>R-room kurang dingin</t>
  </si>
  <si>
    <t>sarankan untuk mengatur suhu F-room dan R-room terlebih dahulu</t>
  </si>
  <si>
    <t>M. Sidik /Bp</t>
  </si>
  <si>
    <t>sarankan untuk restarrt dahulu unitnya selama 4-6 jam</t>
  </si>
  <si>
    <t>Ciek Yulyan Hisyam /ibu</t>
  </si>
  <si>
    <t>suara storing</t>
  </si>
  <si>
    <t>202961972 3359943 ROBOT1</t>
  </si>
  <si>
    <t>urgent</t>
  </si>
  <si>
    <t>Muhammad Nur /bp (SDSS 11B7)</t>
  </si>
  <si>
    <t>LC-50SA5200X</t>
  </si>
  <si>
    <t>HDMI tidak fungsi</t>
  </si>
  <si>
    <t>202961123 3359259 ROBOT1</t>
  </si>
  <si>
    <t>nani /ibu</t>
  </si>
  <si>
    <t>tidak dingin (return job Sagita)</t>
  </si>
  <si>
    <t>202954039 1826097 ROBOT1</t>
  </si>
  <si>
    <t>Karni /Ibu</t>
  </si>
  <si>
    <t>ES-T75NT-PK</t>
  </si>
  <si>
    <t>Air selalu terbuang</t>
  </si>
  <si>
    <t>202951496 3349512 ROBOT1</t>
  </si>
  <si>
    <t>mg (Non Z2) Beli 10.7.2021</t>
  </si>
  <si>
    <t>Tari /Ibu</t>
  </si>
  <si>
    <t>Error F0</t>
  </si>
  <si>
    <t>202951891 3349702 ROBOT1</t>
  </si>
  <si>
    <t>mg /beli 22.04.2021 via Sejuk Elekt /Tk dg Ibu Nabila 02122521535</t>
  </si>
  <si>
    <t>Julia /Ibu (SDSS 11B7)</t>
  </si>
  <si>
    <t>Bunyi kasar /berdecit</t>
  </si>
  <si>
    <t>202952700 3350683 ROBOT1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</si>
</sst>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\-yyyy\ hh:mm:ss"/>
  </numFmts>
  <fonts count="3" x14ac:knownFonts="1"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0" fillId="3" borderId="0" xfId="0" applyFill="1"/>
    <xf numFmtId="164" fontId="0" fillId="2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363636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6"/>
  <sheetViews>
    <sheetView tabSelected="1" topLeftCell="A77" workbookViewId="0">
      <selection activeCell="A106" sqref="A94:N106"/>
    </sheetView>
  </sheetViews>
  <sheetFormatPr defaultRowHeight="15" x14ac:dyDescent="0.3"/>
  <cols>
    <col min="1" max="14" width="6.140625" customWidth="1"/>
    <col min="17" max="17" width="19.42578125" style="5" customWidth="1"/>
    <col min="18" max="18" width="11.5703125" style="5" customWidth="1"/>
    <col min="19" max="19" width="13.140625" style="5" customWidth="1"/>
    <col min="20" max="20" width="14.28515625" style="5" customWidth="1"/>
    <col min="21" max="22" width="9.140625" style="5"/>
    <col min="23" max="23" width="10.28515625" style="5" customWidth="1"/>
    <col min="24" max="24" width="9.140625" style="5"/>
    <col min="25" max="25" width="15.85546875" style="5" customWidth="1"/>
    <col min="26" max="26" width="12.85546875" style="5" customWidth="1"/>
    <col min="27" max="27" width="14.140625" style="5" customWidth="1"/>
    <col min="28" max="28" width="12.85546875" style="5" customWidth="1"/>
    <col min="29" max="29" width="12.5703125" style="5" customWidth="1"/>
    <col min="30" max="30" width="10.85546875" style="5" customWidth="1"/>
    <col min="31" max="31" width="9.140625" style="11"/>
  </cols>
  <sheetData>
    <row r="1" spans="1:31" ht="15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12</v>
      </c>
      <c r="J1" s="1" t="s">
        <v>11</v>
      </c>
      <c r="K1" s="1" t="s">
        <v>7</v>
      </c>
      <c r="L1" s="1" t="s">
        <v>8</v>
      </c>
      <c r="M1" s="1" t="s">
        <v>9</v>
      </c>
      <c r="N1" s="1" t="s">
        <v>10</v>
      </c>
      <c r="Q1" s="6" t="s">
        <v>34</v>
      </c>
      <c r="R1" s="6" t="s">
        <v>4</v>
      </c>
      <c r="S1" s="6" t="s">
        <v>35</v>
      </c>
      <c r="T1" s="6" t="s">
        <v>36</v>
      </c>
      <c r="U1" s="7" t="s">
        <v>5</v>
      </c>
      <c r="V1" s="6" t="s">
        <v>6</v>
      </c>
      <c r="W1" s="6" t="s">
        <v>37</v>
      </c>
      <c r="X1" s="6" t="s">
        <v>13</v>
      </c>
      <c r="Y1" s="6" t="s">
        <v>12</v>
      </c>
      <c r="Z1" s="6" t="s">
        <v>11</v>
      </c>
      <c r="AA1" s="6" t="s">
        <v>7</v>
      </c>
      <c r="AB1" s="6" t="s">
        <v>8</v>
      </c>
      <c r="AC1" s="6" t="s">
        <v>38</v>
      </c>
      <c r="AD1" s="6" t="s">
        <v>10</v>
      </c>
      <c r="AE1" s="8" t="s">
        <v>39</v>
      </c>
    </row>
    <row r="2" spans="1:31" x14ac:dyDescent="0.3">
      <c r="A2" t="str">
        <f>YEAR(Q2)&amp;"-"&amp;IF(MONTH(Q2)&lt;10,"0"&amp;MONTH(Q2),MONTH(Q2))&amp;"-"&amp;IF(DAY(Q2)&lt;10,"0"&amp;DAY(Q2),DAY(Q2))&amp;" "&amp;IF(HOUR(Q2)&lt;10,"0"&amp;HOUR(Q2),HOUR(Q2))&amp;":"&amp;IF(MINUTE(Q2)&lt;10,"0"&amp;MINUTE(Q2),MINUTE(Q2))&amp;":"&amp;IF(SECOND(Q2)&lt;10,"0"&amp;SECOND(Q2),SECOND(Q2))</f>
        <v>2021-08-02 09:16:00</v>
      </c>
      <c r="B2" t="str">
        <f>IF(S2="","",S2)</f>
        <v>Dewi /Ibu</v>
      </c>
      <c r="C2">
        <f>IF(T2="","",T2)</f>
        <v>81264258845</v>
      </c>
      <c r="D2" t="str">
        <f>IF(W2="","",W2)</f>
        <v>Sumatera Utara</v>
      </c>
      <c r="E2" t="str">
        <f>IF(R2="","",R2)</f>
        <v>Abizar</v>
      </c>
      <c r="F2" t="str">
        <f>IF(U2="","",U2)</f>
        <v>a</v>
      </c>
      <c r="G2" t="str">
        <f>IF(V2="","",V2)</f>
        <v>b</v>
      </c>
      <c r="H2" t="str">
        <f t="shared" ref="H2:N2" si="0">IF(X2="","",X2)</f>
        <v>3m</v>
      </c>
      <c r="I2" t="str">
        <f t="shared" si="0"/>
        <v>Repair Request (Branch)</v>
      </c>
      <c r="J2" t="str">
        <f t="shared" si="0"/>
        <v>Water Dispenser Bottom Loading</v>
      </c>
      <c r="K2" t="str">
        <f t="shared" si="0"/>
        <v>SWD-78EHL-SL</v>
      </c>
      <c r="L2" t="str">
        <f t="shared" si="0"/>
        <v>air tidak naik</v>
      </c>
      <c r="M2" t="str">
        <f t="shared" si="0"/>
        <v>202951389 3349359 ROBOT1</v>
      </c>
      <c r="N2" t="str">
        <f t="shared" si="0"/>
        <v>mg</v>
      </c>
      <c r="Q2" s="12">
        <v>44410.386111111111</v>
      </c>
      <c r="R2" s="2" t="s">
        <v>28</v>
      </c>
      <c r="S2" s="2" t="s">
        <v>66</v>
      </c>
      <c r="T2" s="2">
        <v>81264258845</v>
      </c>
      <c r="U2" s="3" t="s">
        <v>19</v>
      </c>
      <c r="V2" s="4" t="s">
        <v>15</v>
      </c>
      <c r="W2" s="2" t="s">
        <v>52</v>
      </c>
      <c r="X2" s="2" t="s">
        <v>40</v>
      </c>
      <c r="Y2" s="2" t="s">
        <v>41</v>
      </c>
      <c r="Z2" s="2" t="s">
        <v>43</v>
      </c>
      <c r="AA2" s="2" t="s">
        <v>67</v>
      </c>
      <c r="AB2" s="2" t="s">
        <v>58</v>
      </c>
      <c r="AC2" s="2" t="s">
        <v>127</v>
      </c>
      <c r="AD2" s="2" t="s">
        <v>51</v>
      </c>
      <c r="AE2" s="9"/>
    </row>
    <row r="3" spans="1:31" x14ac:dyDescent="0.3">
      <c r="A3" t="str">
        <f>YEAR(Q3)&amp;"-"&amp;IF(MONTH(Q3)&lt;10,"0"&amp;MONTH(Q3),MONTH(Q3))&amp;"-"&amp;IF(DAY(Q3)&lt;10,"0"&amp;DAY(Q3),DAY(Q3))&amp;" "&amp;IF(HOUR(Q3)&lt;10,"0"&amp;HOUR(Q3),HOUR(Q3))&amp;":"&amp;IF(MINUTE(Q3)&lt;10,"0"&amp;MINUTE(Q3),MINUTE(Q3))&amp;":"&amp;IF(SECOND(Q3)&lt;10,"0"&amp;SECOND(Q3),SECOND(Q3))</f>
        <v>2021-08-02 17:22:00</v>
      </c>
      <c r="B3" t="str">
        <f t="shared" ref="B3:B18" si="1">IF(S3="","",S3)</f>
        <v>Vika Mandasari /Ibu</v>
      </c>
      <c r="C3">
        <f t="shared" ref="C3:C18" si="2">IF(T3="","",T3)</f>
        <v>85210181394</v>
      </c>
      <c r="D3" t="str">
        <f t="shared" ref="D3:D18" si="3">IF(W3="","",W3)</f>
        <v>Jakarta</v>
      </c>
      <c r="E3" t="str">
        <f t="shared" ref="E3:E18" si="4">IF(R3="","",R3)</f>
        <v>Abizar</v>
      </c>
      <c r="F3" t="str">
        <f t="shared" ref="F3:F18" si="5">IF(U3="","",U3)</f>
        <v>b</v>
      </c>
      <c r="G3" t="str">
        <f t="shared" ref="G3:G18" si="6">IF(V3="","",V3)</f>
        <v>a</v>
      </c>
      <c r="H3" t="str">
        <f t="shared" ref="H3:H18" si="7">IF(X3="","",X3)</f>
        <v>3a</v>
      </c>
      <c r="I3" t="str">
        <f t="shared" ref="I3:I18" si="8">IF(Y3="","",Y3)</f>
        <v>Repair/Notification Request</v>
      </c>
      <c r="J3" t="str">
        <f t="shared" ref="J3:J18" si="9">IF(Z3="","",Z3)</f>
        <v>Microwave Ovens</v>
      </c>
      <c r="K3" t="str">
        <f t="shared" ref="K3:K18" si="10">IF(AA3="","",AA3)</f>
        <v>R-21D0(S)-IN</v>
      </c>
      <c r="L3" t="str">
        <f t="shared" ref="L3:L18" si="11">IF(AB3="","",AB3)</f>
        <v>tidak panas</v>
      </c>
      <c r="M3" t="str">
        <f t="shared" ref="M3:M18" si="12">IF(AC3="","",AC3)</f>
        <v>202952006 PEMI</v>
      </c>
      <c r="N3" t="str">
        <f t="shared" ref="N3:N18" si="13">IF(AD3="","",AD3)</f>
        <v>mg pemb 21.12.2020/ via wa 085210181394</v>
      </c>
      <c r="Q3" s="12">
        <v>44410.723611111112</v>
      </c>
      <c r="R3" s="2" t="s">
        <v>28</v>
      </c>
      <c r="S3" s="2" t="s">
        <v>128</v>
      </c>
      <c r="T3" s="2">
        <v>85210181394</v>
      </c>
      <c r="U3" s="3" t="s">
        <v>15</v>
      </c>
      <c r="V3" s="4" t="s">
        <v>19</v>
      </c>
      <c r="W3" s="2" t="s">
        <v>33</v>
      </c>
      <c r="X3" s="2" t="s">
        <v>16</v>
      </c>
      <c r="Y3" s="2" t="s">
        <v>17</v>
      </c>
      <c r="Z3" s="2" t="s">
        <v>68</v>
      </c>
      <c r="AA3" s="2" t="s">
        <v>69</v>
      </c>
      <c r="AB3" s="2" t="s">
        <v>70</v>
      </c>
      <c r="AC3" s="2" t="s">
        <v>129</v>
      </c>
      <c r="AD3" s="2" t="s">
        <v>130</v>
      </c>
      <c r="AE3" s="9"/>
    </row>
    <row r="4" spans="1:31" x14ac:dyDescent="0.3">
      <c r="A4" t="str">
        <f t="shared" ref="A4:A18" si="14">YEAR(Q4)&amp;"-"&amp;IF(MONTH(Q4)&lt;10,"0"&amp;MONTH(Q4),MONTH(Q4))&amp;"-"&amp;IF(DAY(Q4)&lt;10,"0"&amp;DAY(Q4),DAY(Q4))&amp;" "&amp;IF(HOUR(Q4)&lt;10,"0"&amp;HOUR(Q4),HOUR(Q4))&amp;":"&amp;IF(MINUTE(Q4)&lt;10,"0"&amp;MINUTE(Q4),MINUTE(Q4))&amp;":"&amp;IF(SECOND(Q4)&lt;10,"0"&amp;SECOND(Q4),SECOND(Q4))</f>
        <v>2021-08-03 08:13:00</v>
      </c>
      <c r="B4" t="str">
        <f t="shared" si="1"/>
        <v>Iin Hartono /Ibu</v>
      </c>
      <c r="C4">
        <f t="shared" si="2"/>
        <v>215816564</v>
      </c>
      <c r="D4" t="str">
        <f t="shared" si="3"/>
        <v>Jakarta</v>
      </c>
      <c r="E4" t="str">
        <f t="shared" si="4"/>
        <v>Abizar</v>
      </c>
      <c r="F4" t="str">
        <f t="shared" si="5"/>
        <v>b</v>
      </c>
      <c r="G4" t="str">
        <f t="shared" si="6"/>
        <v>a</v>
      </c>
      <c r="H4" t="str">
        <f t="shared" si="7"/>
        <v>3a</v>
      </c>
      <c r="I4" t="str">
        <f t="shared" si="8"/>
        <v>Repair/Notification Request</v>
      </c>
      <c r="J4" t="str">
        <f t="shared" si="9"/>
        <v>Reff 2D Import</v>
      </c>
      <c r="K4" t="str">
        <f t="shared" si="10"/>
        <v>SJ-IG762PM-SL</v>
      </c>
      <c r="L4" t="str">
        <f t="shared" si="11"/>
        <v>bunyi berisik dan body panas</v>
      </c>
      <c r="M4" t="str">
        <f t="shared" si="12"/>
        <v>202952150 3349971 ROBOT1</v>
      </c>
      <c r="N4" t="str">
        <f t="shared" si="13"/>
        <v>hg/ model sementara</v>
      </c>
      <c r="Q4" s="12">
        <v>44411.342361111114</v>
      </c>
      <c r="R4" s="2" t="s">
        <v>28</v>
      </c>
      <c r="S4" s="2" t="s">
        <v>131</v>
      </c>
      <c r="T4" s="2">
        <v>215816564</v>
      </c>
      <c r="U4" s="3" t="s">
        <v>15</v>
      </c>
      <c r="V4" s="4" t="s">
        <v>19</v>
      </c>
      <c r="W4" s="2" t="s">
        <v>33</v>
      </c>
      <c r="X4" s="2" t="s">
        <v>16</v>
      </c>
      <c r="Y4" s="2" t="s">
        <v>17</v>
      </c>
      <c r="Z4" s="2" t="s">
        <v>42</v>
      </c>
      <c r="AA4" s="2" t="s">
        <v>55</v>
      </c>
      <c r="AB4" s="2" t="s">
        <v>132</v>
      </c>
      <c r="AC4" s="2" t="s">
        <v>133</v>
      </c>
      <c r="AD4" s="2" t="s">
        <v>134</v>
      </c>
      <c r="AE4" s="9"/>
    </row>
    <row r="5" spans="1:31" x14ac:dyDescent="0.3">
      <c r="A5" t="str">
        <f t="shared" si="14"/>
        <v>2021-08-02 09:42:00</v>
      </c>
      <c r="B5" t="str">
        <f t="shared" si="1"/>
        <v>Tedy Setiawan /bp</v>
      </c>
      <c r="C5">
        <f t="shared" si="2"/>
        <v>218190785</v>
      </c>
      <c r="D5" t="str">
        <f t="shared" si="3"/>
        <v>Jakarta</v>
      </c>
      <c r="E5" t="str">
        <f t="shared" si="4"/>
        <v>Aliahmad</v>
      </c>
      <c r="F5" t="str">
        <f t="shared" si="5"/>
        <v>a</v>
      </c>
      <c r="G5" t="str">
        <f t="shared" si="6"/>
        <v>b</v>
      </c>
      <c r="H5" t="str">
        <f t="shared" si="7"/>
        <v>3a</v>
      </c>
      <c r="I5" t="str">
        <f t="shared" si="8"/>
        <v>Repair/Notification Request</v>
      </c>
      <c r="J5" t="str">
        <f t="shared" si="9"/>
        <v>Room Air Con</v>
      </c>
      <c r="K5" t="str">
        <f t="shared" si="10"/>
        <v>AH-AP9HMY</v>
      </c>
      <c r="L5" t="str">
        <f t="shared" si="11"/>
        <v>Tidak dingin</v>
      </c>
      <c r="M5" t="str">
        <f t="shared" si="12"/>
        <v>202951448 3349478 ROBOT1</v>
      </c>
      <c r="N5" t="str">
        <f t="shared" si="13"/>
        <v>hg / minta cepat / 0818803522</v>
      </c>
      <c r="Q5" s="12">
        <v>44410.404166666667</v>
      </c>
      <c r="R5" s="2" t="s">
        <v>14</v>
      </c>
      <c r="S5" s="2" t="s">
        <v>135</v>
      </c>
      <c r="T5" s="2">
        <v>218190785</v>
      </c>
      <c r="U5" s="3" t="s">
        <v>19</v>
      </c>
      <c r="V5" s="4" t="s">
        <v>15</v>
      </c>
      <c r="W5" s="2" t="s">
        <v>33</v>
      </c>
      <c r="X5" s="2" t="s">
        <v>16</v>
      </c>
      <c r="Y5" s="2" t="s">
        <v>17</v>
      </c>
      <c r="Z5" s="2" t="s">
        <v>20</v>
      </c>
      <c r="AA5" s="2" t="s">
        <v>136</v>
      </c>
      <c r="AB5" s="2" t="s">
        <v>26</v>
      </c>
      <c r="AC5" s="2" t="s">
        <v>137</v>
      </c>
      <c r="AD5" s="2" t="s">
        <v>138</v>
      </c>
      <c r="AE5" s="9"/>
    </row>
    <row r="6" spans="1:31" x14ac:dyDescent="0.3">
      <c r="A6" t="str">
        <f t="shared" si="14"/>
        <v>2021-08-02 10:20:00</v>
      </c>
      <c r="B6" t="str">
        <f t="shared" si="1"/>
        <v>Umi /ibu (SDSS 10B1)</v>
      </c>
      <c r="C6">
        <f t="shared" si="2"/>
        <v>85697723686</v>
      </c>
      <c r="D6" t="str">
        <f t="shared" si="3"/>
        <v>Jawa Barat</v>
      </c>
      <c r="E6" t="str">
        <f t="shared" si="4"/>
        <v>Aliahmad</v>
      </c>
      <c r="F6" t="str">
        <f t="shared" si="5"/>
        <v>a</v>
      </c>
      <c r="G6" t="str">
        <f t="shared" si="6"/>
        <v>a</v>
      </c>
      <c r="H6" t="str">
        <f t="shared" si="7"/>
        <v>3a</v>
      </c>
      <c r="I6" t="str">
        <f t="shared" si="8"/>
        <v>Repair/Notification Request</v>
      </c>
      <c r="J6" t="str">
        <f t="shared" si="9"/>
        <v>Room Air Con</v>
      </c>
      <c r="K6" t="str">
        <f t="shared" si="10"/>
        <v>AH-A5SAY</v>
      </c>
      <c r="L6" t="str">
        <f t="shared" si="11"/>
        <v>Tidak dingin</v>
      </c>
      <c r="M6" t="str">
        <f t="shared" si="12"/>
        <v>202951488 3349503 ROBOT1</v>
      </c>
      <c r="N6" t="str">
        <f t="shared" si="13"/>
        <v>mg / via Bagus elek/tk 085893736548 dg Bp.Agus</v>
      </c>
      <c r="Q6" s="12">
        <v>44410.430555555555</v>
      </c>
      <c r="R6" s="2" t="s">
        <v>14</v>
      </c>
      <c r="S6" s="2" t="s">
        <v>139</v>
      </c>
      <c r="T6" s="2">
        <v>85697723686</v>
      </c>
      <c r="U6" s="3" t="s">
        <v>19</v>
      </c>
      <c r="V6" s="4" t="s">
        <v>19</v>
      </c>
      <c r="W6" s="2" t="s">
        <v>32</v>
      </c>
      <c r="X6" s="2" t="s">
        <v>16</v>
      </c>
      <c r="Y6" s="2" t="s">
        <v>17</v>
      </c>
      <c r="Z6" s="2" t="s">
        <v>20</v>
      </c>
      <c r="AA6" s="2" t="s">
        <v>140</v>
      </c>
      <c r="AB6" s="2" t="s">
        <v>26</v>
      </c>
      <c r="AC6" s="2" t="s">
        <v>141</v>
      </c>
      <c r="AD6" s="2" t="s">
        <v>142</v>
      </c>
      <c r="AE6" s="9"/>
    </row>
    <row r="7" spans="1:31" x14ac:dyDescent="0.3">
      <c r="A7" t="str">
        <f t="shared" si="14"/>
        <v>2021-08-02 10:25:00</v>
      </c>
      <c r="B7" t="str">
        <f t="shared" si="1"/>
        <v>Sihombing /ibu</v>
      </c>
      <c r="C7">
        <f t="shared" si="2"/>
        <v>218643657</v>
      </c>
      <c r="D7" t="str">
        <f t="shared" si="3"/>
        <v>Jakarta</v>
      </c>
      <c r="E7" t="str">
        <f t="shared" si="4"/>
        <v>Aliahmad</v>
      </c>
      <c r="F7" t="str">
        <f t="shared" si="5"/>
        <v>b</v>
      </c>
      <c r="G7" t="str">
        <f t="shared" si="6"/>
        <v>b</v>
      </c>
      <c r="H7" t="str">
        <f t="shared" si="7"/>
        <v>3a</v>
      </c>
      <c r="I7" t="str">
        <f t="shared" si="8"/>
        <v>Repair/Notification Request</v>
      </c>
      <c r="J7" t="str">
        <f t="shared" si="9"/>
        <v>LED 46"~59"</v>
      </c>
      <c r="K7" t="str">
        <f t="shared" si="10"/>
        <v>2T-C50AE1I</v>
      </c>
      <c r="L7" t="str">
        <f t="shared" si="11"/>
        <v>Channel hilang/error</v>
      </c>
      <c r="M7" t="str">
        <f t="shared" si="12"/>
        <v>BATAL UNIT SUDAH NORMAL (Anna)</v>
      </c>
      <c r="N7" t="str">
        <f t="shared" si="13"/>
        <v>mg</v>
      </c>
      <c r="Q7" s="12">
        <v>44410.434027777781</v>
      </c>
      <c r="R7" s="2" t="s">
        <v>14</v>
      </c>
      <c r="S7" s="2" t="s">
        <v>143</v>
      </c>
      <c r="T7" s="2">
        <v>218643657</v>
      </c>
      <c r="U7" s="3" t="s">
        <v>15</v>
      </c>
      <c r="V7" s="4" t="s">
        <v>15</v>
      </c>
      <c r="W7" s="2" t="s">
        <v>33</v>
      </c>
      <c r="X7" s="2" t="s">
        <v>16</v>
      </c>
      <c r="Y7" s="2" t="s">
        <v>17</v>
      </c>
      <c r="Z7" s="2" t="s">
        <v>59</v>
      </c>
      <c r="AA7" s="2" t="s">
        <v>144</v>
      </c>
      <c r="AB7" s="2" t="s">
        <v>145</v>
      </c>
      <c r="AC7" s="2" t="s">
        <v>146</v>
      </c>
      <c r="AD7" s="2" t="s">
        <v>51</v>
      </c>
      <c r="AE7" s="9"/>
    </row>
    <row r="8" spans="1:31" x14ac:dyDescent="0.3">
      <c r="A8" t="str">
        <f t="shared" si="14"/>
        <v>2021-08-02 07:55:00</v>
      </c>
      <c r="B8" t="str">
        <f t="shared" si="1"/>
        <v>Susilo /bp</v>
      </c>
      <c r="C8">
        <f t="shared" si="2"/>
        <v>82213417461</v>
      </c>
      <c r="D8" t="str">
        <f t="shared" si="3"/>
        <v>Kalimantan Timur</v>
      </c>
      <c r="E8" t="str">
        <f t="shared" si="4"/>
        <v>Andi</v>
      </c>
      <c r="F8" t="str">
        <f t="shared" si="5"/>
        <v>a</v>
      </c>
      <c r="G8" t="str">
        <f t="shared" si="6"/>
        <v>b</v>
      </c>
      <c r="H8" t="str">
        <f t="shared" si="7"/>
        <v>3m</v>
      </c>
      <c r="I8" t="str">
        <f t="shared" si="8"/>
        <v>Repair Request (Branch)</v>
      </c>
      <c r="J8" t="str">
        <f t="shared" si="9"/>
        <v>Freezer</v>
      </c>
      <c r="K8" t="str">
        <f t="shared" si="10"/>
        <v>FJ-M195N-SS</v>
      </c>
      <c r="L8" t="str">
        <f t="shared" si="11"/>
        <v>tidak dingin</v>
      </c>
      <c r="M8" t="str">
        <f t="shared" si="12"/>
        <v>202950826 3348224 ROBOT1</v>
      </c>
      <c r="N8" t="str">
        <f t="shared" si="13"/>
        <v>mg/ telp dulu</v>
      </c>
      <c r="Q8" s="12">
        <v>44410.329861111109</v>
      </c>
      <c r="R8" s="2" t="s">
        <v>18</v>
      </c>
      <c r="S8" s="2" t="s">
        <v>147</v>
      </c>
      <c r="T8" s="2">
        <v>82213417461</v>
      </c>
      <c r="U8" s="3" t="s">
        <v>19</v>
      </c>
      <c r="V8" s="4" t="s">
        <v>15</v>
      </c>
      <c r="W8" s="2" t="s">
        <v>148</v>
      </c>
      <c r="X8" s="2" t="s">
        <v>40</v>
      </c>
      <c r="Y8" s="2" t="s">
        <v>41</v>
      </c>
      <c r="Z8" s="2" t="s">
        <v>149</v>
      </c>
      <c r="AA8" s="2" t="s">
        <v>150</v>
      </c>
      <c r="AB8" s="2" t="s">
        <v>24</v>
      </c>
      <c r="AC8" s="2" t="s">
        <v>151</v>
      </c>
      <c r="AD8" s="2" t="s">
        <v>152</v>
      </c>
      <c r="AE8" s="9"/>
    </row>
    <row r="9" spans="1:31" x14ac:dyDescent="0.3">
      <c r="A9" t="str">
        <f t="shared" si="14"/>
        <v>2021-08-02 08:27:00</v>
      </c>
      <c r="B9" t="str">
        <f t="shared" si="1"/>
        <v>ratna /ibu</v>
      </c>
      <c r="C9">
        <f t="shared" si="2"/>
        <v>8129612560</v>
      </c>
      <c r="D9" t="str">
        <f t="shared" si="3"/>
        <v>Jawa Barat</v>
      </c>
      <c r="E9" t="str">
        <f t="shared" si="4"/>
        <v>Andi</v>
      </c>
      <c r="F9" t="str">
        <f t="shared" si="5"/>
        <v>b</v>
      </c>
      <c r="G9" t="str">
        <f t="shared" si="6"/>
        <v>b</v>
      </c>
      <c r="H9" t="str">
        <f t="shared" si="7"/>
        <v>3m</v>
      </c>
      <c r="I9" t="str">
        <f t="shared" si="8"/>
        <v>Repair Request (Branch)</v>
      </c>
      <c r="J9" t="str">
        <f t="shared" si="9"/>
        <v>Washing M.Auto</v>
      </c>
      <c r="K9" t="str">
        <f t="shared" si="10"/>
        <v>ES-H858T-GY</v>
      </c>
      <c r="L9" t="str">
        <f t="shared" si="11"/>
        <v>Wash tidak fungsi</v>
      </c>
      <c r="M9" t="str">
        <f t="shared" si="12"/>
        <v>202951057 3349026 ROBOT1</v>
      </c>
      <c r="N9" t="str">
        <f t="shared" si="13"/>
        <v>hg/ telp dulu</v>
      </c>
      <c r="Q9" s="12">
        <v>44410.352083333331</v>
      </c>
      <c r="R9" s="2" t="s">
        <v>18</v>
      </c>
      <c r="S9" s="2" t="s">
        <v>153</v>
      </c>
      <c r="T9" s="2">
        <v>8129612560</v>
      </c>
      <c r="U9" s="3" t="s">
        <v>15</v>
      </c>
      <c r="V9" s="4" t="s">
        <v>15</v>
      </c>
      <c r="W9" s="2" t="s">
        <v>32</v>
      </c>
      <c r="X9" s="2" t="s">
        <v>40</v>
      </c>
      <c r="Y9" s="2" t="s">
        <v>41</v>
      </c>
      <c r="Z9" s="2" t="s">
        <v>45</v>
      </c>
      <c r="AA9" s="2" t="s">
        <v>71</v>
      </c>
      <c r="AB9" s="2" t="s">
        <v>154</v>
      </c>
      <c r="AC9" s="2" t="s">
        <v>155</v>
      </c>
      <c r="AD9" s="2" t="s">
        <v>72</v>
      </c>
      <c r="AE9" s="9"/>
    </row>
    <row r="10" spans="1:31" x14ac:dyDescent="0.3">
      <c r="A10" t="str">
        <f t="shared" si="14"/>
        <v>2021-08-02 08:36:00</v>
      </c>
      <c r="B10" t="str">
        <f t="shared" si="1"/>
        <v>Syahril /bp</v>
      </c>
      <c r="C10">
        <f t="shared" si="2"/>
        <v>87799064874</v>
      </c>
      <c r="D10" t="str">
        <f t="shared" si="3"/>
        <v/>
      </c>
      <c r="E10" t="str">
        <f t="shared" si="4"/>
        <v>Andi</v>
      </c>
      <c r="F10" t="str">
        <f t="shared" si="5"/>
        <v>a</v>
      </c>
      <c r="G10" t="str">
        <f t="shared" si="6"/>
        <v>b</v>
      </c>
      <c r="H10" t="str">
        <f t="shared" si="7"/>
        <v>2a</v>
      </c>
      <c r="I10" t="str">
        <f t="shared" si="8"/>
        <v>Usage Explanation</v>
      </c>
      <c r="J10" t="str">
        <f t="shared" si="9"/>
        <v>Reff 1D Local</v>
      </c>
      <c r="K10" t="str">
        <f t="shared" si="10"/>
        <v>SJ-X197MG-DB</v>
      </c>
      <c r="L10" t="str">
        <f t="shared" si="11"/>
        <v>setelah beku mencair kembali</v>
      </c>
      <c r="M10" t="str">
        <f t="shared" si="12"/>
        <v>disarankan gunakan stavolt guna menstabilkan voltage</v>
      </c>
      <c r="N10" t="str">
        <f t="shared" si="13"/>
        <v>Nonz2</v>
      </c>
      <c r="Q10" s="12">
        <v>44410.35833333333</v>
      </c>
      <c r="R10" s="2" t="s">
        <v>18</v>
      </c>
      <c r="S10" s="2" t="s">
        <v>156</v>
      </c>
      <c r="T10" s="2">
        <v>87799064874</v>
      </c>
      <c r="U10" s="3" t="s">
        <v>19</v>
      </c>
      <c r="V10" s="4" t="s">
        <v>15</v>
      </c>
      <c r="W10" s="2"/>
      <c r="X10" s="2" t="s">
        <v>22</v>
      </c>
      <c r="Y10" s="2" t="s">
        <v>23</v>
      </c>
      <c r="Z10" s="2" t="s">
        <v>27</v>
      </c>
      <c r="AA10" s="2" t="s">
        <v>157</v>
      </c>
      <c r="AB10" s="2" t="s">
        <v>158</v>
      </c>
      <c r="AC10" s="2" t="s">
        <v>159</v>
      </c>
      <c r="AD10" s="2" t="s">
        <v>73</v>
      </c>
      <c r="AE10" s="9"/>
    </row>
    <row r="11" spans="1:31" x14ac:dyDescent="0.3">
      <c r="A11" t="str">
        <f t="shared" si="14"/>
        <v>2021-08-10 11:53:00</v>
      </c>
      <c r="B11" t="str">
        <f t="shared" si="1"/>
        <v>Ita Dwihita /ibu</v>
      </c>
      <c r="C11">
        <f t="shared" si="2"/>
        <v>218471175</v>
      </c>
      <c r="D11" t="str">
        <f t="shared" si="3"/>
        <v>Jawa Barat</v>
      </c>
      <c r="E11" t="str">
        <f t="shared" si="4"/>
        <v>Anwar</v>
      </c>
      <c r="F11" t="str">
        <f t="shared" si="5"/>
        <v>a</v>
      </c>
      <c r="G11" t="str">
        <f t="shared" si="6"/>
        <v>b</v>
      </c>
      <c r="H11" t="str">
        <f t="shared" si="7"/>
        <v>3a</v>
      </c>
      <c r="I11" t="str">
        <f t="shared" si="8"/>
        <v>Repair/Notification Request</v>
      </c>
      <c r="J11" t="str">
        <f t="shared" si="9"/>
        <v>Washing M.Auto</v>
      </c>
      <c r="K11" t="str">
        <f t="shared" si="10"/>
        <v>ES-FL1073W</v>
      </c>
      <c r="L11" t="str">
        <f t="shared" si="11"/>
        <v>listrik turun terus</v>
      </c>
      <c r="M11" t="str">
        <f t="shared" si="12"/>
        <v>202957733 RATIH</v>
      </c>
      <c r="N11" t="str">
        <f t="shared" si="13"/>
        <v>mg/minta pak abet 081220235602</v>
      </c>
      <c r="Q11" s="12">
        <v>44418.495138888888</v>
      </c>
      <c r="R11" s="2" t="s">
        <v>29</v>
      </c>
      <c r="S11" s="2" t="s">
        <v>160</v>
      </c>
      <c r="T11" s="2">
        <v>218471175</v>
      </c>
      <c r="U11" s="3" t="s">
        <v>19</v>
      </c>
      <c r="V11" s="4" t="s">
        <v>15</v>
      </c>
      <c r="W11" s="2" t="s">
        <v>32</v>
      </c>
      <c r="X11" s="2" t="s">
        <v>16</v>
      </c>
      <c r="Y11" s="2" t="s">
        <v>17</v>
      </c>
      <c r="Z11" s="2" t="s">
        <v>45</v>
      </c>
      <c r="AA11" s="2" t="s">
        <v>161</v>
      </c>
      <c r="AB11" s="2" t="s">
        <v>162</v>
      </c>
      <c r="AC11" s="2" t="s">
        <v>163</v>
      </c>
      <c r="AD11" s="2" t="s">
        <v>164</v>
      </c>
      <c r="AE11" s="9"/>
    </row>
    <row r="12" spans="1:31" x14ac:dyDescent="0.3">
      <c r="A12" t="str">
        <f t="shared" si="14"/>
        <v>2021-08-18 11:50:00</v>
      </c>
      <c r="B12" t="str">
        <f t="shared" si="1"/>
        <v>Risa /Bp (SDSS 10B1)</v>
      </c>
      <c r="C12">
        <f t="shared" si="2"/>
        <v>81215787428</v>
      </c>
      <c r="D12" t="str">
        <f t="shared" si="3"/>
        <v>Jawa Barat</v>
      </c>
      <c r="E12" t="str">
        <f t="shared" si="4"/>
        <v>Anwar</v>
      </c>
      <c r="F12" t="str">
        <f t="shared" si="5"/>
        <v>b</v>
      </c>
      <c r="G12" t="str">
        <f t="shared" si="6"/>
        <v>a</v>
      </c>
      <c r="H12" t="str">
        <f t="shared" si="7"/>
        <v>3a</v>
      </c>
      <c r="I12" t="str">
        <f t="shared" si="8"/>
        <v>Repair/Notification Request</v>
      </c>
      <c r="J12" t="str">
        <f t="shared" si="9"/>
        <v>LED &lt; 32"</v>
      </c>
      <c r="K12" t="str">
        <f t="shared" si="10"/>
        <v>LC-24LE155M</v>
      </c>
      <c r="L12" t="str">
        <f t="shared" si="11"/>
        <v>mati stanby</v>
      </c>
      <c r="M12" t="str">
        <f t="shared" si="12"/>
        <v>202963822 3361956 ROBOT1</v>
      </c>
      <c r="N12" t="str">
        <f t="shared" si="13"/>
        <v>HG</v>
      </c>
      <c r="Q12" s="12">
        <v>44426.493055555555</v>
      </c>
      <c r="R12" s="2" t="s">
        <v>29</v>
      </c>
      <c r="S12" s="2" t="s">
        <v>165</v>
      </c>
      <c r="T12" s="2">
        <v>81215787428</v>
      </c>
      <c r="U12" s="3" t="s">
        <v>15</v>
      </c>
      <c r="V12" s="4" t="s">
        <v>19</v>
      </c>
      <c r="W12" s="2" t="s">
        <v>32</v>
      </c>
      <c r="X12" s="2" t="s">
        <v>16</v>
      </c>
      <c r="Y12" s="2" t="s">
        <v>17</v>
      </c>
      <c r="Z12" s="2" t="s">
        <v>65</v>
      </c>
      <c r="AA12" s="2" t="s">
        <v>166</v>
      </c>
      <c r="AB12" s="2" t="s">
        <v>167</v>
      </c>
      <c r="AC12" s="2" t="s">
        <v>168</v>
      </c>
      <c r="AD12" s="2" t="s">
        <v>50</v>
      </c>
      <c r="AE12" s="9"/>
    </row>
    <row r="13" spans="1:31" x14ac:dyDescent="0.3">
      <c r="A13" t="str">
        <f t="shared" si="14"/>
        <v>2021-08-30 10:24:00</v>
      </c>
      <c r="B13" t="str">
        <f t="shared" si="1"/>
        <v>Mulyono /bp</v>
      </c>
      <c r="C13">
        <f t="shared" si="2"/>
        <v>217352756</v>
      </c>
      <c r="D13" t="str">
        <f t="shared" si="3"/>
        <v>Banten</v>
      </c>
      <c r="E13" t="str">
        <f t="shared" si="4"/>
        <v>Anwar</v>
      </c>
      <c r="F13" t="str">
        <f t="shared" si="5"/>
        <v>b</v>
      </c>
      <c r="G13" t="str">
        <f t="shared" si="6"/>
        <v>b</v>
      </c>
      <c r="H13" t="str">
        <f t="shared" si="7"/>
        <v>3a</v>
      </c>
      <c r="I13" t="str">
        <f t="shared" si="8"/>
        <v>Repair/Notification Request</v>
      </c>
      <c r="J13" t="str">
        <f t="shared" si="9"/>
        <v>LED 46"~59"</v>
      </c>
      <c r="K13" t="str">
        <f t="shared" si="10"/>
        <v>2T-C50AD1I</v>
      </c>
      <c r="L13" t="str">
        <f t="shared" si="11"/>
        <v>gambar mengecil dan redup</v>
      </c>
      <c r="M13" t="str">
        <f t="shared" si="12"/>
        <v>202973531 2727571 ROBOT1</v>
      </c>
      <c r="N13" t="str">
        <f t="shared" si="13"/>
        <v>MG</v>
      </c>
      <c r="Q13" s="12">
        <v>44438.433333333334</v>
      </c>
      <c r="R13" s="2" t="s">
        <v>29</v>
      </c>
      <c r="S13" s="2" t="s">
        <v>169</v>
      </c>
      <c r="T13" s="2">
        <v>217352756</v>
      </c>
      <c r="U13" s="3" t="s">
        <v>15</v>
      </c>
      <c r="V13" s="4" t="s">
        <v>15</v>
      </c>
      <c r="W13" s="2" t="s">
        <v>170</v>
      </c>
      <c r="X13" s="2" t="s">
        <v>16</v>
      </c>
      <c r="Y13" s="2" t="s">
        <v>17</v>
      </c>
      <c r="Z13" s="2" t="s">
        <v>59</v>
      </c>
      <c r="AA13" s="2" t="s">
        <v>171</v>
      </c>
      <c r="AB13" s="2" t="s">
        <v>172</v>
      </c>
      <c r="AC13" s="2" t="s">
        <v>173</v>
      </c>
      <c r="AD13" s="2" t="s">
        <v>174</v>
      </c>
      <c r="AE13" s="9"/>
    </row>
    <row r="14" spans="1:31" x14ac:dyDescent="0.3">
      <c r="A14" t="str">
        <f t="shared" si="14"/>
        <v>2021-08-02 08:42:00</v>
      </c>
      <c r="B14" t="str">
        <f t="shared" si="1"/>
        <v>Royadi / Bp</v>
      </c>
      <c r="C14">
        <f t="shared" si="2"/>
        <v>89629907860</v>
      </c>
      <c r="D14" t="str">
        <f t="shared" si="3"/>
        <v>Jakarta</v>
      </c>
      <c r="E14" t="str">
        <f t="shared" si="4"/>
        <v>Ayunda</v>
      </c>
      <c r="F14" t="str">
        <f t="shared" si="5"/>
        <v>a</v>
      </c>
      <c r="G14" t="str">
        <f t="shared" si="6"/>
        <v>b</v>
      </c>
      <c r="H14" t="str">
        <f t="shared" si="7"/>
        <v>3a</v>
      </c>
      <c r="I14" t="str">
        <f t="shared" si="8"/>
        <v>Repair/Notification Request</v>
      </c>
      <c r="J14" t="str">
        <f t="shared" si="9"/>
        <v>Room Air Con</v>
      </c>
      <c r="K14" t="str">
        <f t="shared" si="10"/>
        <v>AH-A5UCYN</v>
      </c>
      <c r="L14" t="str">
        <f t="shared" si="11"/>
        <v>tidak dingin + bocor freon</v>
      </c>
      <c r="M14" t="str">
        <f t="shared" si="12"/>
        <v>202951154 3349080 ROBOT1</v>
      </c>
      <c r="N14" t="str">
        <f t="shared" si="13"/>
        <v>mg / hub juga 0895343265449 / via utama jaya /tk 085223936568 dg pak andi</v>
      </c>
      <c r="Q14" s="12">
        <v>44410.362500000003</v>
      </c>
      <c r="R14" s="2" t="s">
        <v>175</v>
      </c>
      <c r="S14" s="2" t="s">
        <v>176</v>
      </c>
      <c r="T14" s="2">
        <v>89629907860</v>
      </c>
      <c r="U14" s="3" t="s">
        <v>19</v>
      </c>
      <c r="V14" s="4" t="s">
        <v>15</v>
      </c>
      <c r="W14" s="2" t="s">
        <v>33</v>
      </c>
      <c r="X14" s="2" t="s">
        <v>16</v>
      </c>
      <c r="Y14" s="2" t="s">
        <v>17</v>
      </c>
      <c r="Z14" s="2" t="s">
        <v>20</v>
      </c>
      <c r="AA14" s="2" t="s">
        <v>177</v>
      </c>
      <c r="AB14" s="2" t="s">
        <v>178</v>
      </c>
      <c r="AC14" s="2" t="s">
        <v>179</v>
      </c>
      <c r="AD14" s="2" t="s">
        <v>180</v>
      </c>
      <c r="AE14" s="9"/>
    </row>
    <row r="15" spans="1:31" x14ac:dyDescent="0.3">
      <c r="A15" t="str">
        <f t="shared" si="14"/>
        <v>2021-08-02 08:53:00</v>
      </c>
      <c r="B15" t="str">
        <f t="shared" si="1"/>
        <v>HANI HANDAYANI / IBBU</v>
      </c>
      <c r="C15">
        <f t="shared" si="2"/>
        <v>85624237633</v>
      </c>
      <c r="D15" t="str">
        <f t="shared" si="3"/>
        <v>Jawa Barat</v>
      </c>
      <c r="E15" t="str">
        <f t="shared" si="4"/>
        <v>Ayunda</v>
      </c>
      <c r="F15" t="str">
        <f t="shared" si="5"/>
        <v>b</v>
      </c>
      <c r="G15" t="str">
        <f t="shared" si="6"/>
        <v>a</v>
      </c>
      <c r="H15" t="str">
        <f t="shared" si="7"/>
        <v>3q</v>
      </c>
      <c r="I15" t="str">
        <f t="shared" si="8"/>
        <v>Repair Request (SDSS / SSR)</v>
      </c>
      <c r="J15" t="str">
        <f t="shared" si="9"/>
        <v>LED 46"~59"</v>
      </c>
      <c r="K15" t="str">
        <f t="shared" si="10"/>
        <v>2T-C50AD1I</v>
      </c>
      <c r="L15" t="str">
        <f t="shared" si="11"/>
        <v>MATI TOTAL</v>
      </c>
      <c r="M15" t="str">
        <f t="shared" si="12"/>
        <v>- 32A7Z22101214;D2130532 - CTI2CSMS</v>
      </c>
      <c r="N15" t="str">
        <f t="shared" si="13"/>
        <v>Mg / telp juga 082211533311</v>
      </c>
      <c r="Q15" s="12">
        <v>44410.370138888888</v>
      </c>
      <c r="R15" s="2" t="s">
        <v>175</v>
      </c>
      <c r="S15" s="2" t="s">
        <v>181</v>
      </c>
      <c r="T15" s="2">
        <v>85624237633</v>
      </c>
      <c r="U15" s="3" t="s">
        <v>15</v>
      </c>
      <c r="V15" s="4" t="s">
        <v>19</v>
      </c>
      <c r="W15" s="2" t="s">
        <v>32</v>
      </c>
      <c r="X15" s="2" t="s">
        <v>47</v>
      </c>
      <c r="Y15" s="2" t="s">
        <v>48</v>
      </c>
      <c r="Z15" s="2" t="s">
        <v>59</v>
      </c>
      <c r="AA15" s="2" t="s">
        <v>171</v>
      </c>
      <c r="AB15" s="2" t="s">
        <v>182</v>
      </c>
      <c r="AC15" s="2" t="s">
        <v>183</v>
      </c>
      <c r="AD15" s="2" t="s">
        <v>184</v>
      </c>
      <c r="AE15" s="9"/>
    </row>
    <row r="16" spans="1:31" x14ac:dyDescent="0.3">
      <c r="A16" t="str">
        <f t="shared" si="14"/>
        <v>2021-08-02 09:05:00</v>
      </c>
      <c r="B16" t="str">
        <f t="shared" si="1"/>
        <v>mega /ibu</v>
      </c>
      <c r="C16">
        <f t="shared" si="2"/>
        <v>214500669</v>
      </c>
      <c r="D16" t="str">
        <f t="shared" si="3"/>
        <v>Jakarta</v>
      </c>
      <c r="E16" t="str">
        <f t="shared" si="4"/>
        <v>Ayunda</v>
      </c>
      <c r="F16" t="str">
        <f t="shared" si="5"/>
        <v>b</v>
      </c>
      <c r="G16" t="str">
        <f t="shared" si="6"/>
        <v>b</v>
      </c>
      <c r="H16" t="str">
        <f t="shared" si="7"/>
        <v>3a</v>
      </c>
      <c r="I16" t="str">
        <f t="shared" si="8"/>
        <v>Repair/Notification Request</v>
      </c>
      <c r="J16" t="str">
        <f t="shared" si="9"/>
        <v>Washing M.Twin Tub Local</v>
      </c>
      <c r="K16" t="str">
        <f t="shared" si="10"/>
        <v>ES-T95CL-BK</v>
      </c>
      <c r="L16" t="str">
        <f t="shared" si="11"/>
        <v>air tidak terbuang</v>
      </c>
      <c r="M16" t="str">
        <f t="shared" si="12"/>
        <v>202951291 3349217 ROBOT1</v>
      </c>
      <c r="N16" t="str">
        <f t="shared" si="13"/>
        <v>hg / bisa hub via wa 08119933898</v>
      </c>
      <c r="Q16" s="12">
        <v>44410.378472222219</v>
      </c>
      <c r="R16" s="2" t="s">
        <v>175</v>
      </c>
      <c r="S16" s="2" t="s">
        <v>185</v>
      </c>
      <c r="T16" s="2">
        <v>214500669</v>
      </c>
      <c r="U16" s="3" t="s">
        <v>15</v>
      </c>
      <c r="V16" s="4" t="s">
        <v>15</v>
      </c>
      <c r="W16" s="2" t="s">
        <v>33</v>
      </c>
      <c r="X16" s="2" t="s">
        <v>16</v>
      </c>
      <c r="Y16" s="2" t="s">
        <v>17</v>
      </c>
      <c r="Z16" s="2" t="s">
        <v>21</v>
      </c>
      <c r="AA16" s="2" t="s">
        <v>186</v>
      </c>
      <c r="AB16" s="2" t="s">
        <v>74</v>
      </c>
      <c r="AC16" s="2" t="s">
        <v>187</v>
      </c>
      <c r="AD16" s="2" t="s">
        <v>188</v>
      </c>
      <c r="AE16" s="9"/>
    </row>
    <row r="17" spans="1:31" x14ac:dyDescent="0.3">
      <c r="A17" t="str">
        <f t="shared" si="14"/>
        <v>2021-08-03 08:49:00</v>
      </c>
      <c r="B17" t="str">
        <f t="shared" si="1"/>
        <v>Rafi /bp</v>
      </c>
      <c r="C17">
        <f t="shared" si="2"/>
        <v>85228121952</v>
      </c>
      <c r="D17" t="str">
        <f t="shared" si="3"/>
        <v>Jawa Tengah</v>
      </c>
      <c r="E17" t="str">
        <f t="shared" si="4"/>
        <v>Dina</v>
      </c>
      <c r="F17" t="str">
        <f t="shared" si="5"/>
        <v>a</v>
      </c>
      <c r="G17" t="str">
        <f t="shared" si="6"/>
        <v>a</v>
      </c>
      <c r="H17" t="str">
        <f t="shared" si="7"/>
        <v>3a</v>
      </c>
      <c r="I17" t="str">
        <f t="shared" si="8"/>
        <v>Repair/Notification Request</v>
      </c>
      <c r="J17" t="str">
        <f t="shared" si="9"/>
        <v>Washing M.Auto</v>
      </c>
      <c r="K17" t="str">
        <f t="shared" si="10"/>
        <v>ES-FL1491XW</v>
      </c>
      <c r="L17" t="str">
        <f t="shared" si="11"/>
        <v>air bocor dari bawah</v>
      </c>
      <c r="M17" t="str">
        <f t="shared" si="12"/>
        <v>202952332 2484057 ROBOT1</v>
      </c>
      <c r="N17" t="str">
        <f t="shared" si="13"/>
        <v>hg / telp dl</v>
      </c>
      <c r="Q17" s="12">
        <v>44411.367361111108</v>
      </c>
      <c r="R17" s="2" t="s">
        <v>57</v>
      </c>
      <c r="S17" s="2" t="s">
        <v>189</v>
      </c>
      <c r="T17" s="2">
        <v>85228121952</v>
      </c>
      <c r="U17" s="3" t="s">
        <v>19</v>
      </c>
      <c r="V17" s="4" t="s">
        <v>19</v>
      </c>
      <c r="W17" s="2" t="s">
        <v>56</v>
      </c>
      <c r="X17" s="2" t="s">
        <v>16</v>
      </c>
      <c r="Y17" s="2" t="s">
        <v>17</v>
      </c>
      <c r="Z17" s="2" t="s">
        <v>45</v>
      </c>
      <c r="AA17" s="2" t="s">
        <v>190</v>
      </c>
      <c r="AB17" s="2" t="s">
        <v>191</v>
      </c>
      <c r="AC17" s="2" t="s">
        <v>192</v>
      </c>
      <c r="AD17" s="2" t="s">
        <v>75</v>
      </c>
      <c r="AE17" s="10"/>
    </row>
    <row r="18" spans="1:31" x14ac:dyDescent="0.3">
      <c r="A18" t="str">
        <f t="shared" si="14"/>
        <v>2021-08-03 08:56:00</v>
      </c>
      <c r="B18" t="str">
        <f t="shared" si="1"/>
        <v>Fajar Sidik /bp</v>
      </c>
      <c r="C18">
        <f t="shared" si="2"/>
        <v>895399938080</v>
      </c>
      <c r="D18" t="str">
        <f t="shared" si="3"/>
        <v>Jawa Barat</v>
      </c>
      <c r="E18" t="str">
        <f t="shared" si="4"/>
        <v>Dina</v>
      </c>
      <c r="F18" t="str">
        <f t="shared" si="5"/>
        <v>b</v>
      </c>
      <c r="G18" t="str">
        <f t="shared" si="6"/>
        <v>b</v>
      </c>
      <c r="H18" t="str">
        <f t="shared" si="7"/>
        <v>3m</v>
      </c>
      <c r="I18" t="str">
        <f t="shared" si="8"/>
        <v>Repair Request (Branch)</v>
      </c>
      <c r="J18" t="str">
        <f t="shared" si="9"/>
        <v>Reff 1D Local</v>
      </c>
      <c r="K18" t="str">
        <f t="shared" si="10"/>
        <v>SJ-N192D-AB</v>
      </c>
      <c r="L18" t="str">
        <f t="shared" si="11"/>
        <v>tidak dingin</v>
      </c>
      <c r="M18" t="str">
        <f t="shared" si="12"/>
        <v>202952361 3350224 ROBOT1</v>
      </c>
      <c r="N18" t="str">
        <f t="shared" si="13"/>
        <v>mg / telp dl</v>
      </c>
      <c r="Q18" s="12">
        <v>44411.37222222222</v>
      </c>
      <c r="R18" s="2" t="s">
        <v>57</v>
      </c>
      <c r="S18" s="2" t="s">
        <v>193</v>
      </c>
      <c r="T18" s="2">
        <v>895399938080</v>
      </c>
      <c r="U18" s="3" t="s">
        <v>15</v>
      </c>
      <c r="V18" s="4" t="s">
        <v>15</v>
      </c>
      <c r="W18" s="2" t="s">
        <v>32</v>
      </c>
      <c r="X18" s="2" t="s">
        <v>40</v>
      </c>
      <c r="Y18" s="2" t="s">
        <v>41</v>
      </c>
      <c r="Z18" s="2" t="s">
        <v>27</v>
      </c>
      <c r="AA18" s="2" t="s">
        <v>194</v>
      </c>
      <c r="AB18" s="2" t="s">
        <v>24</v>
      </c>
      <c r="AC18" s="2" t="s">
        <v>195</v>
      </c>
      <c r="AD18" s="2" t="s">
        <v>76</v>
      </c>
      <c r="AE18" s="9"/>
    </row>
    <row r="19" spans="1:31" x14ac:dyDescent="0.3">
      <c r="A19" t="str">
        <f t="shared" ref="A19:A29" si="15">YEAR(Q19)&amp;"-"&amp;IF(MONTH(Q19)&lt;10,"0"&amp;MONTH(Q19),MONTH(Q19))&amp;"-"&amp;IF(DAY(Q19)&lt;10,"0"&amp;DAY(Q19),DAY(Q19))&amp;" "&amp;IF(HOUR(Q19)&lt;10,"0"&amp;HOUR(Q19),HOUR(Q19))&amp;":"&amp;IF(MINUTE(Q19)&lt;10,"0"&amp;MINUTE(Q19),MINUTE(Q19))&amp;":"&amp;IF(SECOND(Q19)&lt;10,"0"&amp;SECOND(Q19),SECOND(Q19))</f>
        <v>2021-08-03 09:48:00</v>
      </c>
      <c r="B19" t="str">
        <f t="shared" ref="B19:B29" si="16">IF(S19="","",S19)</f>
        <v>Cici /ibu</v>
      </c>
      <c r="C19">
        <f t="shared" ref="C19:C29" si="17">IF(T19="","",T19)</f>
        <v>85258195111</v>
      </c>
      <c r="D19" t="str">
        <f t="shared" ref="D19:D29" si="18">IF(W19="","",W19)</f>
        <v>Jawa Timur</v>
      </c>
      <c r="E19" t="str">
        <f t="shared" ref="E19:E29" si="19">IF(R19="","",R19)</f>
        <v>Dina</v>
      </c>
      <c r="F19" t="str">
        <f t="shared" ref="F19:F29" si="20">IF(U19="","",U19)</f>
        <v>a</v>
      </c>
      <c r="G19" t="str">
        <f t="shared" ref="G19:G29" si="21">IF(V19="","",V19)</f>
        <v>a</v>
      </c>
      <c r="H19" t="str">
        <f t="shared" ref="H19:H29" si="22">IF(X19="","",X19)</f>
        <v>2a</v>
      </c>
      <c r="I19" t="str">
        <f t="shared" ref="I19:I29" si="23">IF(Y19="","",Y19)</f>
        <v>Usage Explanation</v>
      </c>
      <c r="J19" t="str">
        <f t="shared" ref="J19:J29" si="24">IF(Z19="","",Z19)</f>
        <v>Color TV 21" Slim Flat</v>
      </c>
      <c r="K19" t="str">
        <f t="shared" ref="K19:K29" si="25">IF(AA19="","",AA19)</f>
        <v>21DS350E2</v>
      </c>
      <c r="L19" t="str">
        <f t="shared" ref="L19:L29" si="26">IF(AB19="","",AB19)</f>
        <v>tanya pasword</v>
      </c>
      <c r="M19" t="str">
        <f t="shared" ref="M19:M29" si="27">IF(AC19="","",AC19)</f>
        <v>2398 /0000</v>
      </c>
      <c r="N19" t="str">
        <f t="shared" ref="N19:N29" si="28">IF(AD19="","",AD19)</f>
        <v/>
      </c>
      <c r="Q19" s="12">
        <v>44411.408333333333</v>
      </c>
      <c r="R19" s="2" t="s">
        <v>57</v>
      </c>
      <c r="S19" s="2" t="s">
        <v>196</v>
      </c>
      <c r="T19" s="2">
        <v>85258195111</v>
      </c>
      <c r="U19" s="3" t="s">
        <v>19</v>
      </c>
      <c r="V19" s="4" t="s">
        <v>19</v>
      </c>
      <c r="W19" s="2" t="s">
        <v>31</v>
      </c>
      <c r="X19" s="2" t="s">
        <v>22</v>
      </c>
      <c r="Y19" s="2" t="s">
        <v>23</v>
      </c>
      <c r="Z19" s="2" t="s">
        <v>197</v>
      </c>
      <c r="AA19" s="2" t="s">
        <v>198</v>
      </c>
      <c r="AB19" s="2" t="s">
        <v>199</v>
      </c>
      <c r="AC19" s="2" t="s">
        <v>200</v>
      </c>
      <c r="AD19" s="2"/>
      <c r="AE19" s="9"/>
    </row>
    <row r="20" spans="1:31" x14ac:dyDescent="0.3">
      <c r="A20" t="str">
        <f t="shared" si="15"/>
        <v>2021-08-01 09:46:00</v>
      </c>
      <c r="B20" t="str">
        <f t="shared" si="16"/>
        <v>Martinus /bp</v>
      </c>
      <c r="C20">
        <f t="shared" si="17"/>
        <v>81310337328</v>
      </c>
      <c r="D20" t="str">
        <f t="shared" si="18"/>
        <v>Jakarta</v>
      </c>
      <c r="E20" t="str">
        <f t="shared" si="19"/>
        <v>Dinar</v>
      </c>
      <c r="F20" t="str">
        <f t="shared" si="20"/>
        <v>b</v>
      </c>
      <c r="G20" t="str">
        <f t="shared" si="21"/>
        <v>b</v>
      </c>
      <c r="H20" t="str">
        <f t="shared" si="22"/>
        <v>3a</v>
      </c>
      <c r="I20" t="str">
        <f t="shared" si="23"/>
        <v>Repair/Notification Request</v>
      </c>
      <c r="J20" t="str">
        <f t="shared" si="24"/>
        <v>Reff 2D Import</v>
      </c>
      <c r="K20" t="str">
        <f t="shared" si="25"/>
        <v>AH-AP9NSY</v>
      </c>
      <c r="L20" t="str">
        <f t="shared" si="26"/>
        <v>lampu kulkas mati</v>
      </c>
      <c r="M20" t="str">
        <f t="shared" si="27"/>
        <v>Helmy/dinar</v>
      </c>
      <c r="N20" t="str">
        <f t="shared" si="28"/>
        <v>hg</v>
      </c>
      <c r="Q20" s="12">
        <v>44409.406944444447</v>
      </c>
      <c r="R20" s="2" t="s">
        <v>201</v>
      </c>
      <c r="S20" s="2" t="s">
        <v>202</v>
      </c>
      <c r="T20" s="2">
        <v>81310337328</v>
      </c>
      <c r="U20" s="3" t="s">
        <v>15</v>
      </c>
      <c r="V20" s="4" t="s">
        <v>15</v>
      </c>
      <c r="W20" s="2" t="s">
        <v>33</v>
      </c>
      <c r="X20" s="2" t="s">
        <v>16</v>
      </c>
      <c r="Y20" s="2" t="s">
        <v>17</v>
      </c>
      <c r="Z20" s="2" t="s">
        <v>42</v>
      </c>
      <c r="AA20" s="2" t="s">
        <v>203</v>
      </c>
      <c r="AB20" s="2" t="s">
        <v>204</v>
      </c>
      <c r="AC20" s="2" t="s">
        <v>205</v>
      </c>
      <c r="AD20" s="2" t="s">
        <v>44</v>
      </c>
      <c r="AE20" s="9"/>
    </row>
    <row r="21" spans="1:31" x14ac:dyDescent="0.3">
      <c r="A21" t="str">
        <f t="shared" si="15"/>
        <v>2021-08-01 11:10:00</v>
      </c>
      <c r="B21" t="str">
        <f t="shared" si="16"/>
        <v>syahrir /Bp</v>
      </c>
      <c r="C21">
        <f t="shared" si="17"/>
        <v>8122015030</v>
      </c>
      <c r="D21" t="str">
        <f t="shared" si="18"/>
        <v>Sumatera Selatan</v>
      </c>
      <c r="E21" t="str">
        <f t="shared" si="19"/>
        <v>Dinar</v>
      </c>
      <c r="F21" t="str">
        <f t="shared" si="20"/>
        <v>b</v>
      </c>
      <c r="G21" t="str">
        <f t="shared" si="21"/>
        <v>a</v>
      </c>
      <c r="H21" t="str">
        <f t="shared" si="22"/>
        <v>3m</v>
      </c>
      <c r="I21" t="str">
        <f t="shared" si="23"/>
        <v>Repair Request (Branch)</v>
      </c>
      <c r="J21" t="str">
        <f t="shared" si="24"/>
        <v>Washing M.Twin Tub Local</v>
      </c>
      <c r="K21" t="str">
        <f t="shared" si="25"/>
        <v>ES-T80MW-HK</v>
      </c>
      <c r="L21" t="str">
        <f t="shared" si="26"/>
        <v>spin tidak berputar</v>
      </c>
      <c r="M21" t="str">
        <f t="shared" si="27"/>
        <v>202950676 3348647 ROBOT1</v>
      </c>
      <c r="N21" t="str">
        <f t="shared" si="28"/>
        <v>mg</v>
      </c>
      <c r="Q21" s="12">
        <v>44409.465277777781</v>
      </c>
      <c r="R21" s="2" t="s">
        <v>201</v>
      </c>
      <c r="S21" s="2" t="s">
        <v>206</v>
      </c>
      <c r="T21" s="2">
        <v>8122015030</v>
      </c>
      <c r="U21" s="3" t="s">
        <v>15</v>
      </c>
      <c r="V21" s="4" t="s">
        <v>19</v>
      </c>
      <c r="W21" s="2" t="s">
        <v>46</v>
      </c>
      <c r="X21" s="2" t="s">
        <v>40</v>
      </c>
      <c r="Y21" s="2" t="s">
        <v>41</v>
      </c>
      <c r="Z21" s="2" t="s">
        <v>21</v>
      </c>
      <c r="AA21" s="2" t="s">
        <v>207</v>
      </c>
      <c r="AB21" s="2" t="s">
        <v>208</v>
      </c>
      <c r="AC21" s="2" t="s">
        <v>209</v>
      </c>
      <c r="AD21" s="2" t="s">
        <v>51</v>
      </c>
      <c r="AE21" s="9"/>
    </row>
    <row r="22" spans="1:31" x14ac:dyDescent="0.3">
      <c r="A22" t="str">
        <f t="shared" si="15"/>
        <v>2021-08-01 13:17:00</v>
      </c>
      <c r="B22" t="str">
        <f t="shared" si="16"/>
        <v>Rika /Ibu</v>
      </c>
      <c r="C22">
        <f t="shared" si="17"/>
        <v>85240460066</v>
      </c>
      <c r="D22" t="str">
        <f t="shared" si="18"/>
        <v>Sulawesi Selatan</v>
      </c>
      <c r="E22" t="str">
        <f t="shared" si="19"/>
        <v>Dinar</v>
      </c>
      <c r="F22" t="str">
        <f t="shared" si="20"/>
        <v>b</v>
      </c>
      <c r="G22" t="str">
        <f t="shared" si="21"/>
        <v>a</v>
      </c>
      <c r="H22" t="str">
        <f t="shared" si="22"/>
        <v>3a</v>
      </c>
      <c r="I22" t="str">
        <f t="shared" si="23"/>
        <v>Repair/Notification Request</v>
      </c>
      <c r="J22" t="str">
        <f t="shared" si="24"/>
        <v>LED 46"~59"</v>
      </c>
      <c r="K22" t="str">
        <f t="shared" si="25"/>
        <v>2T-C50BG1I</v>
      </c>
      <c r="L22" t="str">
        <f t="shared" si="26"/>
        <v>layar berwarna hijau</v>
      </c>
      <c r="M22" t="str">
        <f t="shared" si="27"/>
        <v>202950713 3348670 ROBOT1</v>
      </c>
      <c r="N22" t="str">
        <f t="shared" si="28"/>
        <v>mg /25 juli 2021</v>
      </c>
      <c r="Q22" s="12">
        <v>44409.553472222222</v>
      </c>
      <c r="R22" s="2" t="s">
        <v>201</v>
      </c>
      <c r="S22" s="2" t="s">
        <v>77</v>
      </c>
      <c r="T22" s="2">
        <v>85240460066</v>
      </c>
      <c r="U22" s="3" t="s">
        <v>15</v>
      </c>
      <c r="V22" s="4" t="s">
        <v>19</v>
      </c>
      <c r="W22" s="2" t="s">
        <v>78</v>
      </c>
      <c r="X22" s="2" t="s">
        <v>16</v>
      </c>
      <c r="Y22" s="2" t="s">
        <v>17</v>
      </c>
      <c r="Z22" s="2" t="s">
        <v>59</v>
      </c>
      <c r="AA22" s="2" t="s">
        <v>210</v>
      </c>
      <c r="AB22" s="2" t="s">
        <v>211</v>
      </c>
      <c r="AC22" s="2" t="s">
        <v>212</v>
      </c>
      <c r="AD22" s="2" t="s">
        <v>213</v>
      </c>
      <c r="AE22" s="9"/>
    </row>
    <row r="23" spans="1:31" x14ac:dyDescent="0.3">
      <c r="A23" t="str">
        <f t="shared" si="15"/>
        <v>2021-08-03 07:40:00</v>
      </c>
      <c r="B23" t="str">
        <f t="shared" si="16"/>
        <v>Moch Agus Taksiono /Bp</v>
      </c>
      <c r="C23">
        <f t="shared" si="17"/>
        <v>85648895498</v>
      </c>
      <c r="D23" t="str">
        <f t="shared" si="18"/>
        <v>Jawa Timur</v>
      </c>
      <c r="E23" t="str">
        <f t="shared" si="19"/>
        <v>Dinda</v>
      </c>
      <c r="F23" t="str">
        <f t="shared" si="20"/>
        <v>b</v>
      </c>
      <c r="G23" t="str">
        <f t="shared" si="21"/>
        <v>b</v>
      </c>
      <c r="H23" t="str">
        <f t="shared" si="22"/>
        <v>3a</v>
      </c>
      <c r="I23" t="str">
        <f t="shared" si="23"/>
        <v>Repair/Notification Request</v>
      </c>
      <c r="J23" t="str">
        <f t="shared" si="24"/>
        <v>Room Air Con</v>
      </c>
      <c r="K23" t="str">
        <f t="shared" si="25"/>
        <v>AH-A5SAY</v>
      </c>
      <c r="L23" t="str">
        <f t="shared" si="26"/>
        <v>Tidak dingin</v>
      </c>
      <c r="M23" t="str">
        <f t="shared" si="27"/>
        <v>202952122 3349939 ROBOT1</v>
      </c>
      <c r="N23" t="str">
        <f t="shared" si="28"/>
        <v>VIA EMAIL</v>
      </c>
      <c r="Q23" s="12">
        <v>44411.319444444445</v>
      </c>
      <c r="R23" s="2" t="s">
        <v>82</v>
      </c>
      <c r="S23" s="2" t="s">
        <v>214</v>
      </c>
      <c r="T23" s="2">
        <v>85648895498</v>
      </c>
      <c r="U23" s="3" t="s">
        <v>15</v>
      </c>
      <c r="V23" s="4" t="s">
        <v>15</v>
      </c>
      <c r="W23" s="2" t="s">
        <v>31</v>
      </c>
      <c r="X23" s="2" t="s">
        <v>16</v>
      </c>
      <c r="Y23" s="2" t="s">
        <v>17</v>
      </c>
      <c r="Z23" s="2" t="s">
        <v>20</v>
      </c>
      <c r="AA23" s="2" t="s">
        <v>140</v>
      </c>
      <c r="AB23" s="2" t="s">
        <v>26</v>
      </c>
      <c r="AC23" s="2" t="s">
        <v>215</v>
      </c>
      <c r="AD23" s="2" t="s">
        <v>216</v>
      </c>
      <c r="AE23" s="9"/>
    </row>
    <row r="24" spans="1:31" x14ac:dyDescent="0.3">
      <c r="A24" t="str">
        <f t="shared" si="15"/>
        <v>2021-08-16 13:12:00</v>
      </c>
      <c r="B24" t="str">
        <f t="shared" si="16"/>
        <v>Darsono /Bp</v>
      </c>
      <c r="C24">
        <f t="shared" si="17"/>
        <v>81269861283</v>
      </c>
      <c r="D24" t="str">
        <f t="shared" si="18"/>
        <v>Sumatera Utara</v>
      </c>
      <c r="E24" t="str">
        <f t="shared" si="19"/>
        <v>Dinda</v>
      </c>
      <c r="F24" t="str">
        <f t="shared" si="20"/>
        <v>b</v>
      </c>
      <c r="G24" t="str">
        <f t="shared" si="21"/>
        <v>b</v>
      </c>
      <c r="H24" t="str">
        <f t="shared" si="22"/>
        <v>3m</v>
      </c>
      <c r="I24" t="str">
        <f t="shared" si="23"/>
        <v>Repair Request (Branch)</v>
      </c>
      <c r="J24" t="str">
        <f t="shared" si="24"/>
        <v>Water Dispenser Bottom Loading</v>
      </c>
      <c r="K24" t="str">
        <f t="shared" si="25"/>
        <v>SWD-65EH-GB</v>
      </c>
      <c r="L24" t="str">
        <f t="shared" si="26"/>
        <v>Bocor</v>
      </c>
      <c r="M24" t="str">
        <f t="shared" si="27"/>
        <v>202962500 2734854 ROBOT1</v>
      </c>
      <c r="N24" t="str">
        <f t="shared" si="28"/>
        <v>hg</v>
      </c>
      <c r="Q24" s="12">
        <v>44424.55</v>
      </c>
      <c r="R24" s="2" t="s">
        <v>82</v>
      </c>
      <c r="S24" s="2" t="s">
        <v>217</v>
      </c>
      <c r="T24" s="2">
        <v>81269861283</v>
      </c>
      <c r="U24" s="3" t="s">
        <v>15</v>
      </c>
      <c r="V24" s="4" t="s">
        <v>15</v>
      </c>
      <c r="W24" s="2" t="s">
        <v>52</v>
      </c>
      <c r="X24" s="2" t="s">
        <v>40</v>
      </c>
      <c r="Y24" s="2" t="s">
        <v>41</v>
      </c>
      <c r="Z24" s="2" t="s">
        <v>43</v>
      </c>
      <c r="AA24" s="2" t="s">
        <v>218</v>
      </c>
      <c r="AB24" s="2" t="s">
        <v>80</v>
      </c>
      <c r="AC24" s="2" t="s">
        <v>219</v>
      </c>
      <c r="AD24" s="2" t="s">
        <v>44</v>
      </c>
      <c r="AE24" s="9"/>
    </row>
    <row r="25" spans="1:31" x14ac:dyDescent="0.3">
      <c r="A25" t="str">
        <f t="shared" si="15"/>
        <v>2021-08-14 17:05:00</v>
      </c>
      <c r="B25" t="str">
        <f t="shared" si="16"/>
        <v>Iman Rahmatulloh /bp</v>
      </c>
      <c r="C25">
        <f t="shared" si="17"/>
        <v>82110593935</v>
      </c>
      <c r="D25" t="str">
        <f t="shared" si="18"/>
        <v>Jawa Barat</v>
      </c>
      <c r="E25" t="str">
        <f t="shared" si="19"/>
        <v>Dinda</v>
      </c>
      <c r="F25" t="str">
        <f t="shared" si="20"/>
        <v>b</v>
      </c>
      <c r="G25" t="str">
        <f t="shared" si="21"/>
        <v>b</v>
      </c>
      <c r="H25" t="str">
        <f t="shared" si="22"/>
        <v>3m</v>
      </c>
      <c r="I25" t="str">
        <f t="shared" si="23"/>
        <v>Repair Request (Branch)</v>
      </c>
      <c r="J25" t="str">
        <f t="shared" si="24"/>
        <v>Washing M.Auto</v>
      </c>
      <c r="K25" t="str">
        <f t="shared" si="25"/>
        <v>ES-G885S-G</v>
      </c>
      <c r="L25" t="str">
        <f t="shared" si="26"/>
        <v>spin tidak fungsi</v>
      </c>
      <c r="M25" t="str">
        <f t="shared" si="27"/>
        <v>202961317 1719877 ROBOT1</v>
      </c>
      <c r="N25" t="str">
        <f t="shared" si="28"/>
        <v>hg - via sharp id</v>
      </c>
      <c r="Q25" s="12">
        <v>44422.711805555555</v>
      </c>
      <c r="R25" s="2" t="s">
        <v>82</v>
      </c>
      <c r="S25" s="2" t="s">
        <v>220</v>
      </c>
      <c r="T25" s="2">
        <v>82110593935</v>
      </c>
      <c r="U25" s="3" t="s">
        <v>15</v>
      </c>
      <c r="V25" s="4" t="s">
        <v>15</v>
      </c>
      <c r="W25" s="2" t="s">
        <v>32</v>
      </c>
      <c r="X25" s="2" t="s">
        <v>40</v>
      </c>
      <c r="Y25" s="2" t="s">
        <v>41</v>
      </c>
      <c r="Z25" s="2" t="s">
        <v>45</v>
      </c>
      <c r="AA25" s="2" t="s">
        <v>221</v>
      </c>
      <c r="AB25" s="2" t="s">
        <v>222</v>
      </c>
      <c r="AC25" s="2" t="s">
        <v>223</v>
      </c>
      <c r="AD25" s="2" t="s">
        <v>224</v>
      </c>
      <c r="AE25" s="9"/>
    </row>
    <row r="26" spans="1:31" x14ac:dyDescent="0.3">
      <c r="A26" t="str">
        <f t="shared" si="15"/>
        <v>2021-08-19 15:39:00</v>
      </c>
      <c r="B26" t="str">
        <f t="shared" si="16"/>
        <v>Arif /bp</v>
      </c>
      <c r="C26">
        <f t="shared" si="17"/>
        <v>85217170810</v>
      </c>
      <c r="D26" t="str">
        <f t="shared" si="18"/>
        <v>Jawa Barat</v>
      </c>
      <c r="E26" t="str">
        <f t="shared" si="19"/>
        <v>Dino</v>
      </c>
      <c r="F26" t="str">
        <f t="shared" si="20"/>
        <v>b</v>
      </c>
      <c r="G26" t="str">
        <f t="shared" si="21"/>
        <v>b</v>
      </c>
      <c r="H26" t="str">
        <f t="shared" si="22"/>
        <v>3m</v>
      </c>
      <c r="I26" t="str">
        <f t="shared" si="23"/>
        <v>Repair Request (Branch)</v>
      </c>
      <c r="J26" t="str">
        <f t="shared" si="24"/>
        <v>Washing M.Auto</v>
      </c>
      <c r="K26" t="str">
        <f t="shared" si="25"/>
        <v>ES-FL860S</v>
      </c>
      <c r="L26" t="str">
        <f t="shared" si="26"/>
        <v>mati total/acc ganti pcb</v>
      </c>
      <c r="M26" t="str">
        <f t="shared" si="27"/>
        <v>202965591 RATIH</v>
      </c>
      <c r="N26" t="str">
        <f t="shared" si="28"/>
        <v>hg tlp dlu</v>
      </c>
      <c r="Q26" s="12">
        <v>44427.652083333334</v>
      </c>
      <c r="R26" s="2" t="s">
        <v>83</v>
      </c>
      <c r="S26" s="2" t="s">
        <v>225</v>
      </c>
      <c r="T26" s="2">
        <v>85217170810</v>
      </c>
      <c r="U26" s="3" t="s">
        <v>15</v>
      </c>
      <c r="V26" s="4" t="s">
        <v>15</v>
      </c>
      <c r="W26" s="2" t="s">
        <v>32</v>
      </c>
      <c r="X26" s="2" t="s">
        <v>40</v>
      </c>
      <c r="Y26" s="2" t="s">
        <v>41</v>
      </c>
      <c r="Z26" s="2" t="s">
        <v>45</v>
      </c>
      <c r="AA26" s="2" t="s">
        <v>226</v>
      </c>
      <c r="AB26" s="2" t="s">
        <v>227</v>
      </c>
      <c r="AC26" s="2" t="s">
        <v>228</v>
      </c>
      <c r="AD26" s="2" t="s">
        <v>229</v>
      </c>
      <c r="AE26" s="9"/>
    </row>
    <row r="27" spans="1:31" x14ac:dyDescent="0.3">
      <c r="A27" t="str">
        <f t="shared" si="15"/>
        <v>2021-08-23 11:08:00</v>
      </c>
      <c r="B27" t="str">
        <f t="shared" si="16"/>
        <v>Biring /ibu</v>
      </c>
      <c r="C27">
        <f t="shared" si="17"/>
        <v>85297493316</v>
      </c>
      <c r="D27" t="str">
        <f t="shared" si="18"/>
        <v>Sumatera Utara</v>
      </c>
      <c r="E27" t="str">
        <f t="shared" si="19"/>
        <v>Dino</v>
      </c>
      <c r="F27" t="str">
        <f t="shared" si="20"/>
        <v>b</v>
      </c>
      <c r="G27" t="str">
        <f t="shared" si="21"/>
        <v>a</v>
      </c>
      <c r="H27" t="str">
        <f t="shared" si="22"/>
        <v>3m</v>
      </c>
      <c r="I27" t="str">
        <f t="shared" si="23"/>
        <v>Repair Request (Branch)</v>
      </c>
      <c r="J27" t="str">
        <f t="shared" si="24"/>
        <v>Reff 2D Local</v>
      </c>
      <c r="K27" t="str">
        <f t="shared" si="25"/>
        <v>SJ-305MD-FW</v>
      </c>
      <c r="L27" t="str">
        <f t="shared" si="26"/>
        <v>bawah tidak dingin</v>
      </c>
      <c r="M27" t="str">
        <f t="shared" si="27"/>
        <v>202967245 1297091 ROBOT1</v>
      </c>
      <c r="N27" t="str">
        <f t="shared" si="28"/>
        <v>nonz2 hg tlp dlu urgent</v>
      </c>
      <c r="Q27" s="12">
        <v>44431.463888888888</v>
      </c>
      <c r="R27" s="2" t="s">
        <v>83</v>
      </c>
      <c r="S27" s="2" t="s">
        <v>230</v>
      </c>
      <c r="T27" s="2">
        <v>85297493316</v>
      </c>
      <c r="U27" s="3" t="s">
        <v>15</v>
      </c>
      <c r="V27" s="4" t="s">
        <v>19</v>
      </c>
      <c r="W27" s="2" t="s">
        <v>52</v>
      </c>
      <c r="X27" s="2" t="s">
        <v>40</v>
      </c>
      <c r="Y27" s="2" t="s">
        <v>41</v>
      </c>
      <c r="Z27" s="2" t="s">
        <v>25</v>
      </c>
      <c r="AA27" s="2" t="s">
        <v>231</v>
      </c>
      <c r="AB27" s="2" t="s">
        <v>232</v>
      </c>
      <c r="AC27" s="2" t="s">
        <v>233</v>
      </c>
      <c r="AD27" s="2" t="s">
        <v>234</v>
      </c>
      <c r="AE27" s="9"/>
    </row>
    <row r="28" spans="1:31" x14ac:dyDescent="0.3">
      <c r="A28" t="str">
        <f t="shared" si="15"/>
        <v>2021-08-16 16:07:00</v>
      </c>
      <c r="B28" t="str">
        <f t="shared" si="16"/>
        <v>Simon Rumumba /Bp</v>
      </c>
      <c r="C28">
        <f t="shared" si="17"/>
        <v>811186875</v>
      </c>
      <c r="D28" t="str">
        <f t="shared" si="18"/>
        <v>Kalimantan Timur</v>
      </c>
      <c r="E28" t="str">
        <f t="shared" si="19"/>
        <v>Dino</v>
      </c>
      <c r="F28" t="str">
        <f t="shared" si="20"/>
        <v>a</v>
      </c>
      <c r="G28" t="str">
        <f t="shared" si="21"/>
        <v>b</v>
      </c>
      <c r="H28" t="str">
        <f t="shared" si="22"/>
        <v>3q</v>
      </c>
      <c r="I28" t="str">
        <f t="shared" si="23"/>
        <v>Repair Request (SDSS / SSR)</v>
      </c>
      <c r="J28" t="str">
        <f t="shared" si="24"/>
        <v>LED 37"~42"</v>
      </c>
      <c r="K28" t="str">
        <f t="shared" si="25"/>
        <v>2T-C42BD1I</v>
      </c>
      <c r="L28" t="str">
        <f t="shared" si="26"/>
        <v>mati</v>
      </c>
      <c r="M28" t="str">
        <f t="shared" si="27"/>
        <v>- 21A2Z22140626;D2132499 - CTI2CSMS</v>
      </c>
      <c r="N28" t="str">
        <f t="shared" si="28"/>
        <v>Pemb.25/12/20 Via Wa</v>
      </c>
      <c r="Q28" s="12">
        <v>44424.671527777777</v>
      </c>
      <c r="R28" s="2" t="s">
        <v>83</v>
      </c>
      <c r="S28" s="2" t="s">
        <v>235</v>
      </c>
      <c r="T28" s="2">
        <v>811186875</v>
      </c>
      <c r="U28" s="3" t="s">
        <v>19</v>
      </c>
      <c r="V28" s="4" t="s">
        <v>15</v>
      </c>
      <c r="W28" s="2" t="s">
        <v>148</v>
      </c>
      <c r="X28" s="2" t="s">
        <v>47</v>
      </c>
      <c r="Y28" s="2" t="s">
        <v>48</v>
      </c>
      <c r="Z28" s="2" t="s">
        <v>84</v>
      </c>
      <c r="AA28" s="2" t="s">
        <v>236</v>
      </c>
      <c r="AB28" s="2" t="s">
        <v>85</v>
      </c>
      <c r="AC28" s="2" t="s">
        <v>237</v>
      </c>
      <c r="AD28" s="2" t="s">
        <v>238</v>
      </c>
      <c r="AE28" s="9"/>
    </row>
    <row r="29" spans="1:31" x14ac:dyDescent="0.3">
      <c r="A29" t="str">
        <f t="shared" si="15"/>
        <v>2021-08-19 10:55:00</v>
      </c>
      <c r="B29" t="str">
        <f t="shared" si="16"/>
        <v>Risma /Ibu</v>
      </c>
      <c r="C29">
        <f t="shared" si="17"/>
        <v>82219702277</v>
      </c>
      <c r="D29" t="str">
        <f t="shared" si="18"/>
        <v>Jawa Barat</v>
      </c>
      <c r="E29" t="str">
        <f t="shared" si="19"/>
        <v>Elsa</v>
      </c>
      <c r="F29" t="str">
        <f t="shared" si="20"/>
        <v>b</v>
      </c>
      <c r="G29" t="str">
        <f t="shared" si="21"/>
        <v>b</v>
      </c>
      <c r="H29" t="str">
        <f t="shared" si="22"/>
        <v>3m</v>
      </c>
      <c r="I29" t="str">
        <f t="shared" si="23"/>
        <v>Repair Request (Branch)</v>
      </c>
      <c r="J29" t="str">
        <f t="shared" si="24"/>
        <v>Water Dispenser Bottom Loading</v>
      </c>
      <c r="K29" t="str">
        <f t="shared" si="25"/>
        <v>SWD-68EH-BK</v>
      </c>
      <c r="L29" t="str">
        <f t="shared" si="26"/>
        <v>Mati total</v>
      </c>
      <c r="M29" t="str">
        <f t="shared" si="27"/>
        <v>202964784 3362916 ROBOT1</v>
      </c>
      <c r="N29" t="str">
        <f t="shared" si="28"/>
        <v>hg / tlp dl</v>
      </c>
      <c r="Q29" s="12">
        <v>44427.454861111109</v>
      </c>
      <c r="R29" s="2" t="s">
        <v>239</v>
      </c>
      <c r="S29" s="2" t="s">
        <v>240</v>
      </c>
      <c r="T29" s="2">
        <v>82219702277</v>
      </c>
      <c r="U29" s="3" t="s">
        <v>15</v>
      </c>
      <c r="V29" s="4" t="s">
        <v>15</v>
      </c>
      <c r="W29" s="2" t="s">
        <v>32</v>
      </c>
      <c r="X29" s="2" t="s">
        <v>40</v>
      </c>
      <c r="Y29" s="2" t="s">
        <v>41</v>
      </c>
      <c r="Z29" s="2" t="s">
        <v>43</v>
      </c>
      <c r="AA29" s="2" t="s">
        <v>241</v>
      </c>
      <c r="AB29" s="2" t="s">
        <v>242</v>
      </c>
      <c r="AC29" s="2" t="s">
        <v>243</v>
      </c>
      <c r="AD29" s="2" t="s">
        <v>244</v>
      </c>
      <c r="AE29" s="9"/>
    </row>
    <row r="30" spans="1:31" x14ac:dyDescent="0.3">
      <c r="A30" t="str">
        <f t="shared" ref="A30:A70" si="29">YEAR(Q30)&amp;"-"&amp;IF(MONTH(Q30)&lt;10,"0"&amp;MONTH(Q30),MONTH(Q30))&amp;"-"&amp;IF(DAY(Q30)&lt;10,"0"&amp;DAY(Q30),DAY(Q30))&amp;" "&amp;IF(HOUR(Q30)&lt;10,"0"&amp;HOUR(Q30),HOUR(Q30))&amp;":"&amp;IF(MINUTE(Q30)&lt;10,"0"&amp;MINUTE(Q30),MINUTE(Q30))&amp;":"&amp;IF(SECOND(Q30)&lt;10,"0"&amp;SECOND(Q30),SECOND(Q30))</f>
        <v>2021-08-19 09:55:00</v>
      </c>
      <c r="B30" t="str">
        <f t="shared" ref="B30:B70" si="30">IF(S30="","",S30)</f>
        <v>dede sulaiman /Bp</v>
      </c>
      <c r="C30">
        <f t="shared" ref="C30:C70" si="31">IF(T30="","",T30)</f>
        <v>8995435789</v>
      </c>
      <c r="D30" t="str">
        <f t="shared" ref="D30:D70" si="32">IF(W30="","",W30)</f>
        <v>Jawa Barat</v>
      </c>
      <c r="E30" t="str">
        <f t="shared" ref="E30:E70" si="33">IF(R30="","",R30)</f>
        <v>Elsa</v>
      </c>
      <c r="F30" t="str">
        <f t="shared" ref="F30:F70" si="34">IF(U30="","",U30)</f>
        <v>b</v>
      </c>
      <c r="G30" t="str">
        <f t="shared" ref="G30:G70" si="35">IF(V30="","",V30)</f>
        <v>a</v>
      </c>
      <c r="H30" t="str">
        <f t="shared" ref="H30:H70" si="36">IF(X30="","",X30)</f>
        <v>3m</v>
      </c>
      <c r="I30" t="str">
        <f t="shared" ref="I30:I70" si="37">IF(Y30="","",Y30)</f>
        <v>Repair Request (Branch)</v>
      </c>
      <c r="J30" t="str">
        <f t="shared" ref="J30:J70" si="38">IF(Z30="","",Z30)</f>
        <v>Reff 2D Local</v>
      </c>
      <c r="K30" t="str">
        <f t="shared" ref="K30:K70" si="39">IF(AA30="","",AA30)</f>
        <v>SJ-195MD-US</v>
      </c>
      <c r="L30" t="str">
        <f t="shared" ref="L30:L70" si="40">IF(AB30="","",AB30)</f>
        <v>tidak dingin</v>
      </c>
      <c r="M30" t="str">
        <f t="shared" ref="M30:M70" si="41">IF(AC30="","",AC30)</f>
        <v>202964724 3362885 ROBOT1</v>
      </c>
      <c r="N30" t="str">
        <f t="shared" ref="N30:N70" si="42">IF(AD30="","",AD30)</f>
        <v>hg / model sementara / via tk agen bahagia cikarang dng luna 087879170668</v>
      </c>
      <c r="Q30" s="5">
        <v>44427.413194444445</v>
      </c>
      <c r="R30" s="5" t="s">
        <v>239</v>
      </c>
      <c r="S30" s="5" t="s">
        <v>245</v>
      </c>
      <c r="T30" s="5">
        <v>8995435789</v>
      </c>
      <c r="U30" s="5" t="s">
        <v>15</v>
      </c>
      <c r="V30" s="5" t="s">
        <v>19</v>
      </c>
      <c r="W30" s="5" t="s">
        <v>32</v>
      </c>
      <c r="X30" s="5" t="s">
        <v>40</v>
      </c>
      <c r="Y30" s="5" t="s">
        <v>41</v>
      </c>
      <c r="Z30" s="5" t="s">
        <v>25</v>
      </c>
      <c r="AA30" s="5" t="s">
        <v>246</v>
      </c>
      <c r="AB30" s="5" t="s">
        <v>24</v>
      </c>
      <c r="AC30" s="5" t="s">
        <v>247</v>
      </c>
      <c r="AD30" s="5" t="s">
        <v>248</v>
      </c>
    </row>
    <row r="31" spans="1:31" x14ac:dyDescent="0.3">
      <c r="A31" t="str">
        <f t="shared" si="29"/>
        <v>2021-08-23 10:08:00</v>
      </c>
      <c r="B31" t="str">
        <f t="shared" si="30"/>
        <v>Cakra /Bp</v>
      </c>
      <c r="C31">
        <f t="shared" si="31"/>
        <v>81236461168</v>
      </c>
      <c r="D31" t="str">
        <f t="shared" si="32"/>
        <v>Bali</v>
      </c>
      <c r="E31" t="str">
        <f t="shared" si="33"/>
        <v>Elsa</v>
      </c>
      <c r="F31" t="str">
        <f t="shared" si="34"/>
        <v>a</v>
      </c>
      <c r="G31" t="str">
        <f t="shared" si="35"/>
        <v>a</v>
      </c>
      <c r="H31" t="str">
        <f t="shared" si="36"/>
        <v>3m</v>
      </c>
      <c r="I31" t="str">
        <f t="shared" si="37"/>
        <v>Repair Request (Branch)</v>
      </c>
      <c r="J31" t="str">
        <f t="shared" si="38"/>
        <v>Reff 2D Local</v>
      </c>
      <c r="K31" t="str">
        <f t="shared" si="39"/>
        <v>SJ-450GP-SD</v>
      </c>
      <c r="L31" t="str">
        <f t="shared" si="40"/>
        <v>bunyi berisik di belakang</v>
      </c>
      <c r="M31" t="str">
        <f t="shared" si="41"/>
        <v>202967560 3365804 ROBOT1</v>
      </c>
      <c r="N31" t="str">
        <f t="shared" si="42"/>
        <v>mg / tlp dl</v>
      </c>
      <c r="Q31" s="5">
        <v>44431.422222222223</v>
      </c>
      <c r="R31" s="5" t="s">
        <v>239</v>
      </c>
      <c r="S31" s="5" t="s">
        <v>249</v>
      </c>
      <c r="T31" s="5">
        <v>81236461168</v>
      </c>
      <c r="U31" s="5" t="s">
        <v>19</v>
      </c>
      <c r="V31" s="5" t="s">
        <v>19</v>
      </c>
      <c r="W31" s="5" t="s">
        <v>86</v>
      </c>
      <c r="X31" s="5" t="s">
        <v>40</v>
      </c>
      <c r="Y31" s="5" t="s">
        <v>41</v>
      </c>
      <c r="Z31" s="5" t="s">
        <v>25</v>
      </c>
      <c r="AA31" s="5" t="s">
        <v>250</v>
      </c>
      <c r="AB31" s="5" t="s">
        <v>251</v>
      </c>
      <c r="AC31" s="5" t="s">
        <v>252</v>
      </c>
      <c r="AD31" s="5" t="s">
        <v>253</v>
      </c>
    </row>
    <row r="32" spans="1:31" x14ac:dyDescent="0.3">
      <c r="A32" t="str">
        <f t="shared" si="29"/>
        <v>2021-08-16 11:35:00</v>
      </c>
      <c r="B32" t="str">
        <f t="shared" si="30"/>
        <v>Linda /ibu</v>
      </c>
      <c r="C32">
        <f t="shared" si="31"/>
        <v>616628409</v>
      </c>
      <c r="D32" t="str">
        <f t="shared" si="32"/>
        <v>Sumatera Utara</v>
      </c>
      <c r="E32" t="str">
        <f t="shared" si="33"/>
        <v>Eva</v>
      </c>
      <c r="F32" t="str">
        <f t="shared" si="34"/>
        <v>b</v>
      </c>
      <c r="G32" t="str">
        <f t="shared" si="35"/>
        <v>a</v>
      </c>
      <c r="H32" t="str">
        <f t="shared" si="36"/>
        <v>3m</v>
      </c>
      <c r="I32" t="str">
        <f t="shared" si="37"/>
        <v>Repair Request (Branch)</v>
      </c>
      <c r="J32" t="str">
        <f t="shared" si="38"/>
        <v>Washing M.Twin Tub Local</v>
      </c>
      <c r="K32" t="str">
        <f t="shared" si="39"/>
        <v>ES-T96CL-HK</v>
      </c>
      <c r="L32" t="str">
        <f t="shared" si="40"/>
        <v>putaran lambat</v>
      </c>
      <c r="M32" t="str">
        <f t="shared" si="41"/>
        <v>202961967 3351956 ROBOT1</v>
      </c>
      <c r="N32" t="str">
        <f t="shared" si="42"/>
        <v>Mg/ tlp dlu/URGENT/ Minta kunj tgl 18.08.2021</v>
      </c>
      <c r="Q32" s="5">
        <v>44424.482638888891</v>
      </c>
      <c r="R32" s="5" t="s">
        <v>254</v>
      </c>
      <c r="S32" s="5" t="s">
        <v>255</v>
      </c>
      <c r="T32" s="5">
        <v>616628409</v>
      </c>
      <c r="U32" s="5" t="s">
        <v>15</v>
      </c>
      <c r="V32" s="5" t="s">
        <v>19</v>
      </c>
      <c r="W32" s="5" t="s">
        <v>52</v>
      </c>
      <c r="X32" s="5" t="s">
        <v>40</v>
      </c>
      <c r="Y32" s="5" t="s">
        <v>41</v>
      </c>
      <c r="Z32" s="5" t="s">
        <v>21</v>
      </c>
      <c r="AA32" s="5" t="s">
        <v>256</v>
      </c>
      <c r="AB32" s="5" t="s">
        <v>257</v>
      </c>
      <c r="AC32" s="5" t="s">
        <v>258</v>
      </c>
      <c r="AD32" s="5" t="s">
        <v>259</v>
      </c>
    </row>
    <row r="33" spans="1:30" x14ac:dyDescent="0.3">
      <c r="A33" t="str">
        <f t="shared" si="29"/>
        <v>2021-08-23 13:01:00</v>
      </c>
      <c r="B33" t="str">
        <f t="shared" si="30"/>
        <v>Ririn /Ibu</v>
      </c>
      <c r="C33">
        <f t="shared" si="31"/>
        <v>81330074392</v>
      </c>
      <c r="D33" t="str">
        <f t="shared" si="32"/>
        <v>Daerah Istimewa Yogyakarta</v>
      </c>
      <c r="E33" t="str">
        <f t="shared" si="33"/>
        <v>Eva</v>
      </c>
      <c r="F33" t="str">
        <f t="shared" si="34"/>
        <v>b</v>
      </c>
      <c r="G33" t="str">
        <f t="shared" si="35"/>
        <v>b</v>
      </c>
      <c r="H33" t="str">
        <f t="shared" si="36"/>
        <v>3m</v>
      </c>
      <c r="I33" t="str">
        <f t="shared" si="37"/>
        <v>Repair Request (Branch)</v>
      </c>
      <c r="J33" t="str">
        <f t="shared" si="38"/>
        <v>Washing M.Twin Tub Local</v>
      </c>
      <c r="K33" t="str">
        <f t="shared" si="39"/>
        <v>ES-T65MW-GK</v>
      </c>
      <c r="L33" t="str">
        <f t="shared" si="40"/>
        <v>Air Keluar terus</v>
      </c>
      <c r="M33" t="str">
        <f t="shared" si="41"/>
        <v>202967717 3365892 ROBOT1</v>
      </c>
      <c r="N33" t="str">
        <f t="shared" si="42"/>
        <v>mg /tlp dlu</v>
      </c>
      <c r="Q33" s="5">
        <v>44431.542361111111</v>
      </c>
      <c r="R33" s="5" t="s">
        <v>254</v>
      </c>
      <c r="S33" s="5" t="s">
        <v>260</v>
      </c>
      <c r="T33" s="5">
        <v>81330074392</v>
      </c>
      <c r="U33" s="5" t="s">
        <v>15</v>
      </c>
      <c r="V33" s="5" t="s">
        <v>15</v>
      </c>
      <c r="W33" s="5" t="s">
        <v>87</v>
      </c>
      <c r="X33" s="5" t="s">
        <v>40</v>
      </c>
      <c r="Y33" s="5" t="s">
        <v>41</v>
      </c>
      <c r="Z33" s="5" t="s">
        <v>21</v>
      </c>
      <c r="AA33" s="5" t="s">
        <v>261</v>
      </c>
      <c r="AB33" s="5" t="s">
        <v>262</v>
      </c>
      <c r="AC33" s="5" t="s">
        <v>263</v>
      </c>
      <c r="AD33" s="5" t="s">
        <v>264</v>
      </c>
    </row>
    <row r="34" spans="1:30" x14ac:dyDescent="0.3">
      <c r="A34" t="str">
        <f t="shared" si="29"/>
        <v>2021-08-24 09:15:00</v>
      </c>
      <c r="B34" t="str">
        <f t="shared" si="30"/>
        <v>Alin /ibu</v>
      </c>
      <c r="C34">
        <f t="shared" si="31"/>
        <v>82170786746</v>
      </c>
      <c r="D34" t="str">
        <f t="shared" si="32"/>
        <v>Riau</v>
      </c>
      <c r="E34" t="str">
        <f t="shared" si="33"/>
        <v>Eva</v>
      </c>
      <c r="F34" t="str">
        <f t="shared" si="34"/>
        <v>a</v>
      </c>
      <c r="G34" t="str">
        <f t="shared" si="35"/>
        <v>b</v>
      </c>
      <c r="H34" t="str">
        <f t="shared" si="36"/>
        <v>3m</v>
      </c>
      <c r="I34" t="str">
        <f t="shared" si="37"/>
        <v>Repair Request (Branch)</v>
      </c>
      <c r="J34" t="str">
        <f t="shared" si="38"/>
        <v>Reff 2D Local</v>
      </c>
      <c r="K34" t="str">
        <f t="shared" si="39"/>
        <v>SJ-326XG-MS</v>
      </c>
      <c r="L34" t="str">
        <f t="shared" si="40"/>
        <v>Bocor Air</v>
      </c>
      <c r="M34" t="str">
        <f t="shared" si="41"/>
        <v>202968510 3366669 ROBOT1</v>
      </c>
      <c r="N34" t="str">
        <f t="shared" si="42"/>
        <v>Mg /Tlp dl /Model sementara</v>
      </c>
      <c r="Q34" s="5">
        <v>44432.385416666664</v>
      </c>
      <c r="R34" s="5" t="s">
        <v>254</v>
      </c>
      <c r="S34" s="5" t="s">
        <v>265</v>
      </c>
      <c r="T34" s="5">
        <v>82170786746</v>
      </c>
      <c r="U34" s="5" t="s">
        <v>19</v>
      </c>
      <c r="V34" s="5" t="s">
        <v>15</v>
      </c>
      <c r="W34" s="5" t="s">
        <v>266</v>
      </c>
      <c r="X34" s="5" t="s">
        <v>40</v>
      </c>
      <c r="Y34" s="5" t="s">
        <v>41</v>
      </c>
      <c r="Z34" s="5" t="s">
        <v>25</v>
      </c>
      <c r="AA34" s="5" t="s">
        <v>267</v>
      </c>
      <c r="AB34" s="5" t="s">
        <v>268</v>
      </c>
      <c r="AC34" s="5" t="s">
        <v>269</v>
      </c>
      <c r="AD34" s="5" t="s">
        <v>270</v>
      </c>
    </row>
    <row r="35" spans="1:30" x14ac:dyDescent="0.3">
      <c r="A35" t="str">
        <f t="shared" si="29"/>
        <v>2021-08-15 08:29:00</v>
      </c>
      <c r="B35" t="str">
        <f t="shared" si="30"/>
        <v>Dindin /Bp</v>
      </c>
      <c r="C35">
        <f t="shared" si="31"/>
        <v>82111236395</v>
      </c>
      <c r="D35" t="str">
        <f t="shared" si="32"/>
        <v>Jawa Barat</v>
      </c>
      <c r="E35" t="str">
        <f t="shared" si="33"/>
        <v>Fahmi</v>
      </c>
      <c r="F35" t="str">
        <f t="shared" si="34"/>
        <v>b</v>
      </c>
      <c r="G35" t="str">
        <f t="shared" si="35"/>
        <v>b</v>
      </c>
      <c r="H35" t="str">
        <f t="shared" si="36"/>
        <v>3m</v>
      </c>
      <c r="I35" t="str">
        <f t="shared" si="37"/>
        <v>Repair Request (Branch)</v>
      </c>
      <c r="J35" t="str">
        <f t="shared" si="38"/>
        <v>LCD 32"</v>
      </c>
      <c r="K35" t="str">
        <f t="shared" si="39"/>
        <v>LC-32L407I</v>
      </c>
      <c r="L35" t="str">
        <f t="shared" si="40"/>
        <v>tidak ada gambar</v>
      </c>
      <c r="M35" t="str">
        <f t="shared" si="41"/>
        <v>202961371 3359395 ROBOT1</v>
      </c>
      <c r="N35" t="str">
        <f t="shared" si="42"/>
        <v>hg/ telp dulu/ online 9 menit</v>
      </c>
      <c r="Q35" s="5">
        <v>44423.353472222225</v>
      </c>
      <c r="R35" s="5" t="s">
        <v>88</v>
      </c>
      <c r="S35" s="5" t="s">
        <v>271</v>
      </c>
      <c r="T35" s="5">
        <v>82111236395</v>
      </c>
      <c r="U35" s="5" t="s">
        <v>15</v>
      </c>
      <c r="V35" s="5" t="s">
        <v>15</v>
      </c>
      <c r="W35" s="5" t="s">
        <v>32</v>
      </c>
      <c r="X35" s="5" t="s">
        <v>40</v>
      </c>
      <c r="Y35" s="5" t="s">
        <v>41</v>
      </c>
      <c r="Z35" s="5" t="s">
        <v>89</v>
      </c>
      <c r="AA35" s="5" t="s">
        <v>272</v>
      </c>
      <c r="AB35" s="5" t="s">
        <v>273</v>
      </c>
      <c r="AC35" s="5" t="s">
        <v>274</v>
      </c>
      <c r="AD35" s="5" t="s">
        <v>275</v>
      </c>
    </row>
    <row r="36" spans="1:30" x14ac:dyDescent="0.3">
      <c r="A36" t="str">
        <f t="shared" si="29"/>
        <v>2021-08-23 16:51:00</v>
      </c>
      <c r="B36" t="str">
        <f t="shared" si="30"/>
        <v>devina /ibu</v>
      </c>
      <c r="C36">
        <f t="shared" si="31"/>
        <v>81262826727</v>
      </c>
      <c r="D36" t="str">
        <f t="shared" si="32"/>
        <v>Sumatera Utara</v>
      </c>
      <c r="E36" t="str">
        <f t="shared" si="33"/>
        <v>Fahmi</v>
      </c>
      <c r="F36" t="str">
        <f t="shared" si="34"/>
        <v>a</v>
      </c>
      <c r="G36" t="str">
        <f t="shared" si="35"/>
        <v>a</v>
      </c>
      <c r="H36" t="str">
        <f t="shared" si="36"/>
        <v>3m</v>
      </c>
      <c r="I36" t="str">
        <f t="shared" si="37"/>
        <v>Repair Request (Branch)</v>
      </c>
      <c r="J36" t="str">
        <f t="shared" si="38"/>
        <v>LED &lt; 32"</v>
      </c>
      <c r="K36" t="str">
        <f t="shared" si="39"/>
        <v>LC-24LE170I</v>
      </c>
      <c r="L36" t="str">
        <f t="shared" si="40"/>
        <v>mati total</v>
      </c>
      <c r="M36" t="str">
        <f t="shared" si="41"/>
        <v>202968210 3366271 ROBOT1</v>
      </c>
      <c r="N36" t="str">
        <f t="shared" si="42"/>
        <v>mg/ telp dulu/ laporan via nomor toko 082112330002</v>
      </c>
      <c r="Q36" s="5">
        <v>44431.70208333333</v>
      </c>
      <c r="R36" s="5" t="s">
        <v>88</v>
      </c>
      <c r="S36" s="5" t="s">
        <v>276</v>
      </c>
      <c r="T36" s="5">
        <v>81262826727</v>
      </c>
      <c r="U36" s="5" t="s">
        <v>19</v>
      </c>
      <c r="V36" s="5" t="s">
        <v>19</v>
      </c>
      <c r="W36" s="5" t="s">
        <v>52</v>
      </c>
      <c r="X36" s="5" t="s">
        <v>40</v>
      </c>
      <c r="Y36" s="5" t="s">
        <v>41</v>
      </c>
      <c r="Z36" s="5" t="s">
        <v>65</v>
      </c>
      <c r="AA36" s="5" t="s">
        <v>277</v>
      </c>
      <c r="AB36" s="5" t="s">
        <v>49</v>
      </c>
      <c r="AC36" s="5" t="s">
        <v>278</v>
      </c>
      <c r="AD36" s="5" t="s">
        <v>279</v>
      </c>
    </row>
    <row r="37" spans="1:30" x14ac:dyDescent="0.3">
      <c r="A37" t="str">
        <f t="shared" si="29"/>
        <v>2021-08-23 08:02:00</v>
      </c>
      <c r="B37" t="str">
        <f t="shared" si="30"/>
        <v>Dila /Ibu</v>
      </c>
      <c r="C37">
        <f t="shared" si="31"/>
        <v>85363926552</v>
      </c>
      <c r="D37" t="str">
        <f t="shared" si="32"/>
        <v>Sumatera Barat</v>
      </c>
      <c r="E37" t="str">
        <f t="shared" si="33"/>
        <v>Fahmi</v>
      </c>
      <c r="F37" t="str">
        <f t="shared" si="34"/>
        <v>b</v>
      </c>
      <c r="G37" t="str">
        <f t="shared" si="35"/>
        <v>b</v>
      </c>
      <c r="H37" t="str">
        <f t="shared" si="36"/>
        <v>3m</v>
      </c>
      <c r="I37" t="str">
        <f t="shared" si="37"/>
        <v>Repair Request (Branch)</v>
      </c>
      <c r="J37" t="str">
        <f t="shared" si="38"/>
        <v>Reff 1D Local</v>
      </c>
      <c r="K37" t="str">
        <f t="shared" si="39"/>
        <v>SJ-N182D-VB</v>
      </c>
      <c r="L37" t="str">
        <f t="shared" si="40"/>
        <v>bunyi berisik</v>
      </c>
      <c r="M37" t="str">
        <f t="shared" si="41"/>
        <v>202966792 3364794 ROBOT1</v>
      </c>
      <c r="N37" t="str">
        <f t="shared" si="42"/>
        <v>mg/ telp dulu</v>
      </c>
      <c r="Q37" s="5">
        <v>44431.334722222222</v>
      </c>
      <c r="R37" s="5" t="s">
        <v>88</v>
      </c>
      <c r="S37" s="5" t="s">
        <v>280</v>
      </c>
      <c r="T37" s="5">
        <v>85363926552</v>
      </c>
      <c r="U37" s="5" t="s">
        <v>15</v>
      </c>
      <c r="V37" s="5" t="s">
        <v>15</v>
      </c>
      <c r="W37" s="5" t="s">
        <v>90</v>
      </c>
      <c r="X37" s="5" t="s">
        <v>40</v>
      </c>
      <c r="Y37" s="5" t="s">
        <v>41</v>
      </c>
      <c r="Z37" s="5" t="s">
        <v>27</v>
      </c>
      <c r="AA37" s="5" t="s">
        <v>281</v>
      </c>
      <c r="AB37" s="5" t="s">
        <v>91</v>
      </c>
      <c r="AC37" s="5" t="s">
        <v>282</v>
      </c>
      <c r="AD37" s="5" t="s">
        <v>152</v>
      </c>
    </row>
    <row r="38" spans="1:30" x14ac:dyDescent="0.3">
      <c r="A38" t="str">
        <f t="shared" si="29"/>
        <v>2021-08-07 09:15:00</v>
      </c>
      <c r="B38" t="str">
        <f t="shared" si="30"/>
        <v>Risda /Ibu</v>
      </c>
      <c r="C38">
        <f t="shared" si="31"/>
        <v>85624866684</v>
      </c>
      <c r="D38" t="str">
        <f t="shared" si="32"/>
        <v>Jawa Barat</v>
      </c>
      <c r="E38" t="str">
        <f t="shared" si="33"/>
        <v>Fauzi</v>
      </c>
      <c r="F38" t="str">
        <f t="shared" si="34"/>
        <v>b</v>
      </c>
      <c r="G38" t="str">
        <f t="shared" si="35"/>
        <v>b</v>
      </c>
      <c r="H38" t="str">
        <f t="shared" si="36"/>
        <v>3m</v>
      </c>
      <c r="I38" t="str">
        <f t="shared" si="37"/>
        <v>Repair Request (Branch)</v>
      </c>
      <c r="J38" t="str">
        <f t="shared" si="38"/>
        <v>LED 37"~42"</v>
      </c>
      <c r="K38" t="str">
        <f t="shared" si="39"/>
        <v>2T-C42BG1I</v>
      </c>
      <c r="L38" t="str">
        <f t="shared" si="40"/>
        <v>layar bergaris</v>
      </c>
      <c r="M38" t="str">
        <f t="shared" si="41"/>
        <v>202955616 3353638 ROBOT1</v>
      </c>
      <c r="N38" t="str">
        <f t="shared" si="42"/>
        <v>mg</v>
      </c>
      <c r="Q38" s="5">
        <v>44415.385416666664</v>
      </c>
      <c r="R38" s="5" t="s">
        <v>62</v>
      </c>
      <c r="S38" s="5" t="s">
        <v>283</v>
      </c>
      <c r="T38" s="5">
        <v>85624866684</v>
      </c>
      <c r="U38" s="5" t="s">
        <v>15</v>
      </c>
      <c r="V38" s="5" t="s">
        <v>15</v>
      </c>
      <c r="W38" s="5" t="s">
        <v>32</v>
      </c>
      <c r="X38" s="5" t="s">
        <v>40</v>
      </c>
      <c r="Y38" s="5" t="s">
        <v>41</v>
      </c>
      <c r="Z38" s="5" t="s">
        <v>84</v>
      </c>
      <c r="AA38" s="5" t="s">
        <v>92</v>
      </c>
      <c r="AB38" s="5" t="s">
        <v>284</v>
      </c>
      <c r="AC38" s="5" t="s">
        <v>285</v>
      </c>
      <c r="AD38" s="5" t="s">
        <v>51</v>
      </c>
    </row>
    <row r="39" spans="1:30" x14ac:dyDescent="0.3">
      <c r="A39" t="str">
        <f t="shared" si="29"/>
        <v>2021-08-21 11:10:00</v>
      </c>
      <c r="B39" t="str">
        <f t="shared" si="30"/>
        <v>Minto /bp</v>
      </c>
      <c r="C39">
        <f t="shared" si="31"/>
        <v>81286970087</v>
      </c>
      <c r="D39" t="str">
        <f t="shared" si="32"/>
        <v>Jawa Barat</v>
      </c>
      <c r="E39" t="str">
        <f t="shared" si="33"/>
        <v>Fauzi</v>
      </c>
      <c r="F39" t="str">
        <f t="shared" si="34"/>
        <v>b</v>
      </c>
      <c r="G39" t="str">
        <f t="shared" si="35"/>
        <v>a</v>
      </c>
      <c r="H39" t="str">
        <f t="shared" si="36"/>
        <v>3m</v>
      </c>
      <c r="I39" t="str">
        <f t="shared" si="37"/>
        <v>Repair Request (Branch)</v>
      </c>
      <c r="J39" t="str">
        <f t="shared" si="38"/>
        <v>LED 32"</v>
      </c>
      <c r="K39" t="str">
        <f t="shared" si="39"/>
        <v>LC-32LE430M</v>
      </c>
      <c r="L39" t="str">
        <f t="shared" si="40"/>
        <v>mati total</v>
      </c>
      <c r="M39" t="str">
        <f t="shared" si="41"/>
        <v>202966333 3364490 ROBOT1</v>
      </c>
      <c r="N39" t="str">
        <f t="shared" si="42"/>
        <v>hg</v>
      </c>
      <c r="Q39" s="5">
        <v>44429.465277777781</v>
      </c>
      <c r="R39" s="5" t="s">
        <v>62</v>
      </c>
      <c r="S39" s="5" t="s">
        <v>286</v>
      </c>
      <c r="T39" s="5">
        <v>81286970087</v>
      </c>
      <c r="U39" s="5" t="s">
        <v>15</v>
      </c>
      <c r="V39" s="5" t="s">
        <v>19</v>
      </c>
      <c r="W39" s="5" t="s">
        <v>32</v>
      </c>
      <c r="X39" s="5" t="s">
        <v>40</v>
      </c>
      <c r="Y39" s="5" t="s">
        <v>41</v>
      </c>
      <c r="Z39" s="5" t="s">
        <v>30</v>
      </c>
      <c r="AA39" s="5" t="s">
        <v>79</v>
      </c>
      <c r="AB39" s="5" t="s">
        <v>49</v>
      </c>
      <c r="AC39" s="5" t="s">
        <v>287</v>
      </c>
      <c r="AD39" s="5" t="s">
        <v>44</v>
      </c>
    </row>
    <row r="40" spans="1:30" x14ac:dyDescent="0.3">
      <c r="A40" t="str">
        <f t="shared" si="29"/>
        <v>2021-08-21 10:05:00</v>
      </c>
      <c r="B40" t="str">
        <f t="shared" si="30"/>
        <v>Jessica /Ibu</v>
      </c>
      <c r="C40">
        <f t="shared" si="31"/>
        <v>81314405401</v>
      </c>
      <c r="D40" t="str">
        <f t="shared" si="32"/>
        <v>Jakarta</v>
      </c>
      <c r="E40" t="str">
        <f t="shared" si="33"/>
        <v>Fauzi</v>
      </c>
      <c r="F40" t="str">
        <f t="shared" si="34"/>
        <v>a</v>
      </c>
      <c r="G40" t="str">
        <f t="shared" si="35"/>
        <v>b</v>
      </c>
      <c r="H40" t="str">
        <f t="shared" si="36"/>
        <v>3a</v>
      </c>
      <c r="I40" t="str">
        <f t="shared" si="37"/>
        <v>Repair/Notification Request</v>
      </c>
      <c r="J40" t="str">
        <f t="shared" si="38"/>
        <v>Washing M.Twin Tub Local</v>
      </c>
      <c r="K40" t="str">
        <f t="shared" si="39"/>
        <v>ES-T1490WA-BL</v>
      </c>
      <c r="L40" t="str">
        <f t="shared" si="40"/>
        <v>wash berisik</v>
      </c>
      <c r="M40" t="str">
        <f t="shared" si="41"/>
        <v>202966286 3364465 ROBOT1</v>
      </c>
      <c r="N40" t="str">
        <f t="shared" si="42"/>
        <v>hg</v>
      </c>
      <c r="Q40" s="5">
        <v>44429.420138888891</v>
      </c>
      <c r="R40" s="5" t="s">
        <v>62</v>
      </c>
      <c r="S40" s="5" t="s">
        <v>288</v>
      </c>
      <c r="T40" s="5">
        <v>81314405401</v>
      </c>
      <c r="U40" s="5" t="s">
        <v>19</v>
      </c>
      <c r="V40" s="5" t="s">
        <v>15</v>
      </c>
      <c r="W40" s="5" t="s">
        <v>33</v>
      </c>
      <c r="X40" s="5" t="s">
        <v>16</v>
      </c>
      <c r="Y40" s="5" t="s">
        <v>17</v>
      </c>
      <c r="Z40" s="5" t="s">
        <v>21</v>
      </c>
      <c r="AA40" s="5" t="s">
        <v>289</v>
      </c>
      <c r="AB40" s="5" t="s">
        <v>290</v>
      </c>
      <c r="AC40" s="5" t="s">
        <v>291</v>
      </c>
      <c r="AD40" s="5" t="s">
        <v>44</v>
      </c>
    </row>
    <row r="41" spans="1:30" x14ac:dyDescent="0.3">
      <c r="A41" t="str">
        <f t="shared" si="29"/>
        <v>2021-08-16 09:53:00</v>
      </c>
      <c r="B41" t="str">
        <f t="shared" si="30"/>
        <v>Riko /Bp</v>
      </c>
      <c r="C41">
        <f t="shared" si="31"/>
        <v>81277770312</v>
      </c>
      <c r="D41" t="str">
        <f t="shared" si="32"/>
        <v>Sumatera Selatan</v>
      </c>
      <c r="E41" t="str">
        <f t="shared" si="33"/>
        <v>Firas</v>
      </c>
      <c r="F41" t="str">
        <f t="shared" si="34"/>
        <v>b</v>
      </c>
      <c r="G41" t="str">
        <f t="shared" si="35"/>
        <v>b</v>
      </c>
      <c r="H41" t="str">
        <f t="shared" si="36"/>
        <v>3m</v>
      </c>
      <c r="I41" t="str">
        <f t="shared" si="37"/>
        <v>Repair Request (Branch)</v>
      </c>
      <c r="J41" t="str">
        <f t="shared" si="38"/>
        <v>Reff 1D Local</v>
      </c>
      <c r="K41" t="str">
        <f t="shared" si="39"/>
        <v>SJ-X185M-SR</v>
      </c>
      <c r="L41" t="str">
        <f t="shared" si="40"/>
        <v>tidak dingin</v>
      </c>
      <c r="M41" t="str">
        <f t="shared" si="41"/>
        <v>202961922 3359885 ROBOT1</v>
      </c>
      <c r="N41" t="str">
        <f t="shared" si="42"/>
        <v>hg / telp dl / URGENT</v>
      </c>
      <c r="Q41" s="5">
        <v>44424.411805555559</v>
      </c>
      <c r="R41" s="5" t="s">
        <v>292</v>
      </c>
      <c r="S41" s="5" t="s">
        <v>293</v>
      </c>
      <c r="T41" s="5">
        <v>81277770312</v>
      </c>
      <c r="U41" s="5" t="s">
        <v>15</v>
      </c>
      <c r="V41" s="5" t="s">
        <v>15</v>
      </c>
      <c r="W41" s="5" t="s">
        <v>46</v>
      </c>
      <c r="X41" s="5" t="s">
        <v>40</v>
      </c>
      <c r="Y41" s="5" t="s">
        <v>41</v>
      </c>
      <c r="Z41" s="5" t="s">
        <v>27</v>
      </c>
      <c r="AA41" s="5" t="s">
        <v>294</v>
      </c>
      <c r="AB41" s="5" t="s">
        <v>24</v>
      </c>
      <c r="AC41" s="5" t="s">
        <v>295</v>
      </c>
      <c r="AD41" s="5" t="s">
        <v>296</v>
      </c>
    </row>
    <row r="42" spans="1:30" x14ac:dyDescent="0.3">
      <c r="A42" t="str">
        <f t="shared" si="29"/>
        <v>2021-08-16 10:25:00</v>
      </c>
      <c r="B42" t="str">
        <f t="shared" si="30"/>
        <v>Tanti /Ibu</v>
      </c>
      <c r="C42">
        <f t="shared" si="31"/>
        <v>8122020614</v>
      </c>
      <c r="D42" t="str">
        <f t="shared" si="32"/>
        <v>Jawa Barat</v>
      </c>
      <c r="E42" t="str">
        <f t="shared" si="33"/>
        <v>Firas</v>
      </c>
      <c r="F42" t="str">
        <f t="shared" si="34"/>
        <v>a</v>
      </c>
      <c r="G42" t="str">
        <f t="shared" si="35"/>
        <v>b</v>
      </c>
      <c r="H42" t="str">
        <f t="shared" si="36"/>
        <v>3m</v>
      </c>
      <c r="I42" t="str">
        <f t="shared" si="37"/>
        <v>Repair Request (Branch)</v>
      </c>
      <c r="J42" t="str">
        <f t="shared" si="38"/>
        <v>Washing M.Auto</v>
      </c>
      <c r="K42" t="str">
        <f t="shared" si="39"/>
        <v>ES-R82KY-G</v>
      </c>
      <c r="L42" t="str">
        <f t="shared" si="40"/>
        <v>air kran tidak keluar</v>
      </c>
      <c r="M42" t="str">
        <f t="shared" si="41"/>
        <v>202961944 2447225 ROBOT1</v>
      </c>
      <c r="N42" t="str">
        <f t="shared" si="42"/>
        <v>hg / telp dl / tambahan wash tidak berfungsi /URGENT</v>
      </c>
      <c r="Q42" s="5">
        <v>44424.434027777781</v>
      </c>
      <c r="R42" s="5" t="s">
        <v>292</v>
      </c>
      <c r="S42" s="5" t="s">
        <v>297</v>
      </c>
      <c r="T42" s="5">
        <v>8122020614</v>
      </c>
      <c r="U42" s="5" t="s">
        <v>19</v>
      </c>
      <c r="V42" s="5" t="s">
        <v>15</v>
      </c>
      <c r="W42" s="5" t="s">
        <v>32</v>
      </c>
      <c r="X42" s="5" t="s">
        <v>40</v>
      </c>
      <c r="Y42" s="5" t="s">
        <v>41</v>
      </c>
      <c r="Z42" s="5" t="s">
        <v>45</v>
      </c>
      <c r="AA42" s="5" t="s">
        <v>93</v>
      </c>
      <c r="AB42" s="5" t="s">
        <v>298</v>
      </c>
      <c r="AC42" s="5" t="s">
        <v>299</v>
      </c>
      <c r="AD42" s="5" t="s">
        <v>300</v>
      </c>
    </row>
    <row r="43" spans="1:30" x14ac:dyDescent="0.3">
      <c r="A43" t="str">
        <f t="shared" si="29"/>
        <v>2021-08-14 09:00:00</v>
      </c>
      <c r="B43" t="str">
        <f t="shared" si="30"/>
        <v>Dwi /Ibu</v>
      </c>
      <c r="C43">
        <f t="shared" si="31"/>
        <v>81362070669</v>
      </c>
      <c r="D43" t="str">
        <f t="shared" si="32"/>
        <v>Sumatera Utara</v>
      </c>
      <c r="E43" t="str">
        <f t="shared" si="33"/>
        <v>Firas</v>
      </c>
      <c r="F43" t="str">
        <f t="shared" si="34"/>
        <v>b</v>
      </c>
      <c r="G43" t="str">
        <f t="shared" si="35"/>
        <v>a</v>
      </c>
      <c r="H43" t="str">
        <f t="shared" si="36"/>
        <v>3m</v>
      </c>
      <c r="I43" t="str">
        <f t="shared" si="37"/>
        <v>Repair Request (Branch)</v>
      </c>
      <c r="J43" t="str">
        <f t="shared" si="38"/>
        <v>LED 46"~59"</v>
      </c>
      <c r="K43" t="str">
        <f t="shared" si="39"/>
        <v>LC-50LE275X</v>
      </c>
      <c r="L43" t="str">
        <f t="shared" si="40"/>
        <v>mati standby</v>
      </c>
      <c r="M43" t="str">
        <f t="shared" si="41"/>
        <v>202960866 3358881 ROBOT1</v>
      </c>
      <c r="N43" t="str">
        <f t="shared" si="42"/>
        <v>hg / telp dl / URGENT</v>
      </c>
      <c r="Q43" s="5">
        <v>44422.375</v>
      </c>
      <c r="R43" s="5" t="s">
        <v>292</v>
      </c>
      <c r="S43" s="5" t="s">
        <v>301</v>
      </c>
      <c r="T43" s="5">
        <v>81362070669</v>
      </c>
      <c r="U43" s="5" t="s">
        <v>15</v>
      </c>
      <c r="V43" s="5" t="s">
        <v>19</v>
      </c>
      <c r="W43" s="5" t="s">
        <v>52</v>
      </c>
      <c r="X43" s="5" t="s">
        <v>40</v>
      </c>
      <c r="Y43" s="5" t="s">
        <v>41</v>
      </c>
      <c r="Z43" s="5" t="s">
        <v>59</v>
      </c>
      <c r="AA43" s="5" t="s">
        <v>302</v>
      </c>
      <c r="AB43" s="5" t="s">
        <v>303</v>
      </c>
      <c r="AC43" s="5" t="s">
        <v>304</v>
      </c>
      <c r="AD43" s="5" t="s">
        <v>296</v>
      </c>
    </row>
    <row r="44" spans="1:30" x14ac:dyDescent="0.3">
      <c r="A44" t="str">
        <f t="shared" si="29"/>
        <v>2021-08-14 09:02:00</v>
      </c>
      <c r="B44" t="str">
        <f t="shared" si="30"/>
        <v>M Muklis /bp</v>
      </c>
      <c r="C44">
        <f t="shared" si="31"/>
        <v>81231999666</v>
      </c>
      <c r="D44" t="str">
        <f t="shared" si="32"/>
        <v>Jawa Timur</v>
      </c>
      <c r="E44" t="str">
        <f t="shared" si="33"/>
        <v>Franscisco</v>
      </c>
      <c r="F44" t="str">
        <f t="shared" si="34"/>
        <v>a</v>
      </c>
      <c r="G44" t="str">
        <f t="shared" si="35"/>
        <v>b</v>
      </c>
      <c r="H44" t="str">
        <f t="shared" si="36"/>
        <v>3m</v>
      </c>
      <c r="I44" t="str">
        <f t="shared" si="37"/>
        <v>Repair Request (Branch)</v>
      </c>
      <c r="J44" t="str">
        <f t="shared" si="38"/>
        <v>Water Dispenser Bottom Loading</v>
      </c>
      <c r="K44" t="str">
        <f t="shared" si="39"/>
        <v>SWD-70EHL-SL</v>
      </c>
      <c r="L44" t="str">
        <f t="shared" si="40"/>
        <v>air tidak naik</v>
      </c>
      <c r="M44" t="str">
        <f t="shared" si="41"/>
        <v>CANCEL, mau ke luar kota</v>
      </c>
      <c r="N44" t="str">
        <f t="shared" si="42"/>
        <v>hg/tlp dl</v>
      </c>
      <c r="Q44" s="5">
        <v>44422.376388888886</v>
      </c>
      <c r="R44" s="5" t="s">
        <v>94</v>
      </c>
      <c r="S44" s="5" t="s">
        <v>305</v>
      </c>
      <c r="T44" s="5">
        <v>81231999666</v>
      </c>
      <c r="U44" s="5" t="s">
        <v>19</v>
      </c>
      <c r="V44" s="5" t="s">
        <v>15</v>
      </c>
      <c r="W44" s="5" t="s">
        <v>31</v>
      </c>
      <c r="X44" s="5" t="s">
        <v>40</v>
      </c>
      <c r="Y44" s="5" t="s">
        <v>41</v>
      </c>
      <c r="Z44" s="5" t="s">
        <v>43</v>
      </c>
      <c r="AA44" s="5" t="s">
        <v>306</v>
      </c>
      <c r="AB44" s="5" t="s">
        <v>58</v>
      </c>
      <c r="AC44" s="5" t="s">
        <v>307</v>
      </c>
      <c r="AD44" s="5" t="s">
        <v>95</v>
      </c>
    </row>
    <row r="45" spans="1:30" x14ac:dyDescent="0.3">
      <c r="A45" t="str">
        <f t="shared" si="29"/>
        <v>2021-08-19 13:19:00</v>
      </c>
      <c r="B45" t="str">
        <f t="shared" si="30"/>
        <v>Kusnandar / Bp</v>
      </c>
      <c r="C45">
        <f t="shared" si="31"/>
        <v>82170001009</v>
      </c>
      <c r="D45" t="str">
        <f t="shared" si="32"/>
        <v>Kepulauan Riau</v>
      </c>
      <c r="E45" t="str">
        <f t="shared" si="33"/>
        <v>Franscisco</v>
      </c>
      <c r="F45" t="str">
        <f t="shared" si="34"/>
        <v>b</v>
      </c>
      <c r="G45" t="str">
        <f t="shared" si="35"/>
        <v>b</v>
      </c>
      <c r="H45" t="str">
        <f t="shared" si="36"/>
        <v>3m</v>
      </c>
      <c r="I45" t="str">
        <f t="shared" si="37"/>
        <v>Repair Request (Branch)</v>
      </c>
      <c r="J45" t="str">
        <f t="shared" si="38"/>
        <v>Washing M.Auto</v>
      </c>
      <c r="K45" t="str">
        <f t="shared" si="39"/>
        <v>ES-FL1280BX</v>
      </c>
      <c r="L45" t="str">
        <f t="shared" si="40"/>
        <v>tidak mutar</v>
      </c>
      <c r="M45" t="str">
        <f t="shared" si="41"/>
        <v>202965330 RATIH</v>
      </c>
      <c r="N45" t="str">
        <f t="shared" si="42"/>
        <v>hg/tlp dl</v>
      </c>
      <c r="Q45" s="5">
        <v>44427.554861111108</v>
      </c>
      <c r="R45" s="5" t="s">
        <v>94</v>
      </c>
      <c r="S45" s="5" t="s">
        <v>308</v>
      </c>
      <c r="T45" s="5">
        <v>82170001009</v>
      </c>
      <c r="U45" s="5" t="s">
        <v>15</v>
      </c>
      <c r="V45" s="5" t="s">
        <v>15</v>
      </c>
      <c r="W45" s="5" t="s">
        <v>96</v>
      </c>
      <c r="X45" s="5" t="s">
        <v>40</v>
      </c>
      <c r="Y45" s="5" t="s">
        <v>41</v>
      </c>
      <c r="Z45" s="5" t="s">
        <v>45</v>
      </c>
      <c r="AA45" s="5" t="s">
        <v>309</v>
      </c>
      <c r="AB45" s="5" t="s">
        <v>310</v>
      </c>
      <c r="AC45" s="5" t="s">
        <v>311</v>
      </c>
      <c r="AD45" s="5" t="s">
        <v>95</v>
      </c>
    </row>
    <row r="46" spans="1:30" x14ac:dyDescent="0.3">
      <c r="A46" t="str">
        <f t="shared" si="29"/>
        <v>2021-08-30 16:44:00</v>
      </c>
      <c r="B46" t="str">
        <f t="shared" si="30"/>
        <v>putut wahyudi /bp</v>
      </c>
      <c r="C46">
        <f t="shared" si="31"/>
        <v>85747508870</v>
      </c>
      <c r="D46" t="str">
        <f t="shared" si="32"/>
        <v>Daerah Istimewa Yogyakarta</v>
      </c>
      <c r="E46" t="str">
        <f t="shared" si="33"/>
        <v>Franscisco</v>
      </c>
      <c r="F46" t="str">
        <f t="shared" si="34"/>
        <v>a</v>
      </c>
      <c r="G46" t="str">
        <f t="shared" si="35"/>
        <v>b</v>
      </c>
      <c r="H46" t="str">
        <f t="shared" si="36"/>
        <v>3m</v>
      </c>
      <c r="I46" t="str">
        <f t="shared" si="37"/>
        <v>Repair Request (Branch)</v>
      </c>
      <c r="J46" t="str">
        <f t="shared" si="38"/>
        <v>Room Air Con</v>
      </c>
      <c r="K46" t="str">
        <f t="shared" si="39"/>
        <v>AH-AP5UHL</v>
      </c>
      <c r="L46" t="str">
        <f t="shared" si="40"/>
        <v>cuci AC</v>
      </c>
      <c r="M46" t="str">
        <f t="shared" si="41"/>
        <v>202974281 2422011 ROBOT1</v>
      </c>
      <c r="N46" t="str">
        <f t="shared" si="42"/>
        <v>hg/tlp dl/minta cek juga</v>
      </c>
      <c r="Q46" s="5">
        <v>44438.697222222225</v>
      </c>
      <c r="R46" s="5" t="s">
        <v>94</v>
      </c>
      <c r="S46" s="5" t="s">
        <v>312</v>
      </c>
      <c r="T46" s="5">
        <v>85747508870</v>
      </c>
      <c r="U46" s="5" t="s">
        <v>19</v>
      </c>
      <c r="V46" s="5" t="s">
        <v>15</v>
      </c>
      <c r="W46" s="5" t="s">
        <v>87</v>
      </c>
      <c r="X46" s="5" t="s">
        <v>40</v>
      </c>
      <c r="Y46" s="5" t="s">
        <v>41</v>
      </c>
      <c r="Z46" s="5" t="s">
        <v>20</v>
      </c>
      <c r="AA46" s="5" t="s">
        <v>313</v>
      </c>
      <c r="AB46" s="5" t="s">
        <v>314</v>
      </c>
      <c r="AC46" s="5" t="s">
        <v>315</v>
      </c>
      <c r="AD46" s="5" t="s">
        <v>316</v>
      </c>
    </row>
    <row r="47" spans="1:30" x14ac:dyDescent="0.3">
      <c r="A47" t="str">
        <f t="shared" si="29"/>
        <v>2021-08-18 18:46:00</v>
      </c>
      <c r="B47" t="str">
        <f t="shared" si="30"/>
        <v>Eva /ibu</v>
      </c>
      <c r="C47">
        <f t="shared" si="31"/>
        <v>85640190844</v>
      </c>
      <c r="D47" t="str">
        <f t="shared" si="32"/>
        <v>Jawa Barat</v>
      </c>
      <c r="E47" t="str">
        <f t="shared" si="33"/>
        <v>Helmy</v>
      </c>
      <c r="F47" t="str">
        <f t="shared" si="34"/>
        <v>b</v>
      </c>
      <c r="G47" t="str">
        <f t="shared" si="35"/>
        <v>a</v>
      </c>
      <c r="H47" t="str">
        <f t="shared" si="36"/>
        <v>3m</v>
      </c>
      <c r="I47" t="str">
        <f t="shared" si="37"/>
        <v>Repair Request (Branch)</v>
      </c>
      <c r="J47" t="str">
        <f t="shared" si="38"/>
        <v>Room Air Con</v>
      </c>
      <c r="K47" t="str">
        <f t="shared" si="39"/>
        <v>AH-A5SAY</v>
      </c>
      <c r="L47" t="str">
        <f t="shared" si="40"/>
        <v>cuci ac (sabtu 21.8.21)</v>
      </c>
      <c r="M47" t="str">
        <f t="shared" si="41"/>
        <v>202964525 3122713 ROBOT1</v>
      </c>
      <c r="N47" t="str">
        <f t="shared" si="42"/>
        <v>CUCI AC</v>
      </c>
      <c r="Q47" s="5">
        <v>44426.781944444447</v>
      </c>
      <c r="R47" s="5" t="s">
        <v>97</v>
      </c>
      <c r="S47" s="5" t="s">
        <v>98</v>
      </c>
      <c r="T47" s="5">
        <v>85640190844</v>
      </c>
      <c r="U47" s="5" t="s">
        <v>15</v>
      </c>
      <c r="V47" s="5" t="s">
        <v>19</v>
      </c>
      <c r="W47" s="5" t="s">
        <v>32</v>
      </c>
      <c r="X47" s="5" t="s">
        <v>40</v>
      </c>
      <c r="Y47" s="5" t="s">
        <v>41</v>
      </c>
      <c r="Z47" s="5" t="s">
        <v>20</v>
      </c>
      <c r="AA47" s="5" t="s">
        <v>140</v>
      </c>
      <c r="AB47" s="5" t="s">
        <v>317</v>
      </c>
      <c r="AC47" s="5" t="s">
        <v>318</v>
      </c>
      <c r="AD47" s="5" t="s">
        <v>99</v>
      </c>
    </row>
    <row r="48" spans="1:30" x14ac:dyDescent="0.3">
      <c r="A48" t="str">
        <f t="shared" si="29"/>
        <v>2021-08-15 13:46:00</v>
      </c>
      <c r="B48" t="str">
        <f t="shared" si="30"/>
        <v>Notje /bp</v>
      </c>
      <c r="C48">
        <f t="shared" si="31"/>
        <v>81283812002</v>
      </c>
      <c r="D48" t="str">
        <f t="shared" si="32"/>
        <v>Banten</v>
      </c>
      <c r="E48" t="str">
        <f t="shared" si="33"/>
        <v>Helmy</v>
      </c>
      <c r="F48" t="str">
        <f t="shared" si="34"/>
        <v>b</v>
      </c>
      <c r="G48" t="str">
        <f t="shared" si="35"/>
        <v>b</v>
      </c>
      <c r="H48" t="str">
        <f t="shared" si="36"/>
        <v>3a</v>
      </c>
      <c r="I48" t="str">
        <f t="shared" si="37"/>
        <v>Repair/Notification Request</v>
      </c>
      <c r="J48" t="str">
        <f t="shared" si="38"/>
        <v>Reff 2D Import</v>
      </c>
      <c r="K48" t="str">
        <f t="shared" si="39"/>
        <v>SJ-P710NLV-SL</v>
      </c>
      <c r="L48" t="str">
        <f t="shared" si="40"/>
        <v>tidak dingin (minta cepat)</v>
      </c>
      <c r="M48" t="str">
        <f t="shared" si="41"/>
        <v>202961453 2442159 ROBOT1</v>
      </c>
      <c r="N48" t="str">
        <f t="shared" si="42"/>
        <v>hg / urgent</v>
      </c>
      <c r="Q48" s="5">
        <v>44423.573611111111</v>
      </c>
      <c r="R48" s="5" t="s">
        <v>97</v>
      </c>
      <c r="S48" s="5" t="s">
        <v>319</v>
      </c>
      <c r="T48" s="5">
        <v>81283812002</v>
      </c>
      <c r="U48" s="5" t="s">
        <v>15</v>
      </c>
      <c r="V48" s="5" t="s">
        <v>15</v>
      </c>
      <c r="W48" s="5" t="s">
        <v>170</v>
      </c>
      <c r="X48" s="5" t="s">
        <v>16</v>
      </c>
      <c r="Y48" s="5" t="s">
        <v>17</v>
      </c>
      <c r="Z48" s="5" t="s">
        <v>42</v>
      </c>
      <c r="AA48" s="5" t="s">
        <v>320</v>
      </c>
      <c r="AB48" s="5" t="s">
        <v>321</v>
      </c>
      <c r="AC48" s="5" t="s">
        <v>322</v>
      </c>
      <c r="AD48" s="5" t="s">
        <v>323</v>
      </c>
    </row>
    <row r="49" spans="1:30" x14ac:dyDescent="0.3">
      <c r="A49" t="str">
        <f t="shared" si="29"/>
        <v>2021-08-15 10:59:00</v>
      </c>
      <c r="B49" t="str">
        <f t="shared" si="30"/>
        <v>Astri Hardiyanti /ibu</v>
      </c>
      <c r="C49">
        <f t="shared" si="31"/>
        <v>8568985151</v>
      </c>
      <c r="D49" t="str">
        <f t="shared" si="32"/>
        <v>Banten</v>
      </c>
      <c r="E49" t="str">
        <f t="shared" si="33"/>
        <v>Helmy</v>
      </c>
      <c r="F49" t="str">
        <f t="shared" si="34"/>
        <v>b</v>
      </c>
      <c r="G49" t="str">
        <f t="shared" si="35"/>
        <v>b</v>
      </c>
      <c r="H49" t="str">
        <f t="shared" si="36"/>
        <v>3a</v>
      </c>
      <c r="I49" t="str">
        <f t="shared" si="37"/>
        <v>Repair/Notification Request</v>
      </c>
      <c r="J49" t="str">
        <f t="shared" si="38"/>
        <v>Washing M.Auto</v>
      </c>
      <c r="K49" t="str">
        <f t="shared" si="39"/>
        <v>ES-FL1082</v>
      </c>
      <c r="L49" t="str">
        <f t="shared" si="40"/>
        <v>program error</v>
      </c>
      <c r="M49" t="str">
        <f t="shared" si="41"/>
        <v>202961397 1749006 ROBOT1</v>
      </c>
      <c r="N49" t="str">
        <f t="shared" si="42"/>
        <v>hg / nonz2</v>
      </c>
      <c r="Q49" s="5">
        <v>44423.457638888889</v>
      </c>
      <c r="R49" s="5" t="s">
        <v>97</v>
      </c>
      <c r="S49" s="5" t="s">
        <v>324</v>
      </c>
      <c r="T49" s="5">
        <v>8568985151</v>
      </c>
      <c r="U49" s="5" t="s">
        <v>15</v>
      </c>
      <c r="V49" s="5" t="s">
        <v>15</v>
      </c>
      <c r="W49" s="5" t="s">
        <v>170</v>
      </c>
      <c r="X49" s="5" t="s">
        <v>16</v>
      </c>
      <c r="Y49" s="5" t="s">
        <v>17</v>
      </c>
      <c r="Z49" s="5" t="s">
        <v>45</v>
      </c>
      <c r="AA49" s="5" t="s">
        <v>100</v>
      </c>
      <c r="AB49" s="5" t="s">
        <v>101</v>
      </c>
      <c r="AC49" s="5" t="s">
        <v>325</v>
      </c>
      <c r="AD49" s="5" t="s">
        <v>326</v>
      </c>
    </row>
    <row r="50" spans="1:30" x14ac:dyDescent="0.3">
      <c r="A50" t="str">
        <f t="shared" si="29"/>
        <v>2021-08-16 11:58:00</v>
      </c>
      <c r="B50" t="str">
        <f t="shared" si="30"/>
        <v>Fitrika hestin /Ibu</v>
      </c>
      <c r="C50">
        <f t="shared" si="31"/>
        <v>82314905032</v>
      </c>
      <c r="D50" t="str">
        <f t="shared" si="32"/>
        <v>Jawa Tengah</v>
      </c>
      <c r="E50" t="str">
        <f t="shared" si="33"/>
        <v>Indra</v>
      </c>
      <c r="F50" t="str">
        <f t="shared" si="34"/>
        <v>b</v>
      </c>
      <c r="G50" t="str">
        <f t="shared" si="35"/>
        <v>b</v>
      </c>
      <c r="H50" t="str">
        <f t="shared" si="36"/>
        <v>3q</v>
      </c>
      <c r="I50" t="str">
        <f t="shared" si="37"/>
        <v>Repair Request (SDSS / SSR)</v>
      </c>
      <c r="J50" t="str">
        <f t="shared" si="38"/>
        <v>LED 32"</v>
      </c>
      <c r="K50" t="str">
        <f t="shared" si="39"/>
        <v>2T-C32BD1I-TG</v>
      </c>
      <c r="L50" t="str">
        <f t="shared" si="40"/>
        <v>tidak ada gambar</v>
      </c>
      <c r="M50" t="str">
        <f t="shared" si="41"/>
        <v>- 14A7Z22100914;D2132417 - CTI2CSMS</v>
      </c>
      <c r="N50" t="str">
        <f t="shared" si="42"/>
        <v>mg. tgl beli 5 mei 2021</v>
      </c>
      <c r="Q50" s="5">
        <v>44424.498611111114</v>
      </c>
      <c r="R50" s="5" t="s">
        <v>117</v>
      </c>
      <c r="S50" s="5" t="s">
        <v>327</v>
      </c>
      <c r="T50" s="5">
        <v>82314905032</v>
      </c>
      <c r="U50" s="5" t="s">
        <v>15</v>
      </c>
      <c r="V50" s="5" t="s">
        <v>15</v>
      </c>
      <c r="W50" s="5" t="s">
        <v>56</v>
      </c>
      <c r="X50" s="5" t="s">
        <v>47</v>
      </c>
      <c r="Y50" s="5" t="s">
        <v>48</v>
      </c>
      <c r="Z50" s="5" t="s">
        <v>30</v>
      </c>
      <c r="AA50" s="5" t="s">
        <v>328</v>
      </c>
      <c r="AB50" s="5" t="s">
        <v>273</v>
      </c>
      <c r="AC50" s="5" t="s">
        <v>329</v>
      </c>
      <c r="AD50" s="5" t="s">
        <v>330</v>
      </c>
    </row>
    <row r="51" spans="1:30" x14ac:dyDescent="0.3">
      <c r="A51" t="str">
        <f t="shared" si="29"/>
        <v>2021-08-16 13:02:00</v>
      </c>
      <c r="B51" t="str">
        <f t="shared" si="30"/>
        <v>Meyrliana labuang /ibu</v>
      </c>
      <c r="C51">
        <f t="shared" si="31"/>
        <v>82271455745</v>
      </c>
      <c r="D51" t="str">
        <f t="shared" si="32"/>
        <v>Gorontalo</v>
      </c>
      <c r="E51" t="str">
        <f t="shared" si="33"/>
        <v>Indra</v>
      </c>
      <c r="F51" t="str">
        <f t="shared" si="34"/>
        <v>b</v>
      </c>
      <c r="G51" t="str">
        <f t="shared" si="35"/>
        <v>a</v>
      </c>
      <c r="H51" t="str">
        <f t="shared" si="36"/>
        <v>3q</v>
      </c>
      <c r="I51" t="str">
        <f t="shared" si="37"/>
        <v>Repair Request (SDSS / SSR)</v>
      </c>
      <c r="J51" t="str">
        <f t="shared" si="38"/>
        <v>Washing M.Auto</v>
      </c>
      <c r="K51" t="str">
        <f t="shared" si="39"/>
        <v>ES-F950P-GY</v>
      </c>
      <c r="L51" t="str">
        <f t="shared" si="40"/>
        <v>Program error</v>
      </c>
      <c r="M51" t="str">
        <f t="shared" si="41"/>
        <v>- 31A0Z22100690;D2132430 - CTI2CSMS</v>
      </c>
      <c r="N51" t="str">
        <f t="shared" si="42"/>
        <v>hg</v>
      </c>
      <c r="Q51" s="5">
        <v>44424.543055555558</v>
      </c>
      <c r="R51" s="5" t="s">
        <v>117</v>
      </c>
      <c r="S51" s="5" t="s">
        <v>331</v>
      </c>
      <c r="T51" s="5">
        <v>82271455745</v>
      </c>
      <c r="U51" s="5" t="s">
        <v>15</v>
      </c>
      <c r="V51" s="5" t="s">
        <v>19</v>
      </c>
      <c r="W51" s="5" t="s">
        <v>124</v>
      </c>
      <c r="X51" s="5" t="s">
        <v>47</v>
      </c>
      <c r="Y51" s="5" t="s">
        <v>48</v>
      </c>
      <c r="Z51" s="5" t="s">
        <v>45</v>
      </c>
      <c r="AA51" s="5" t="s">
        <v>54</v>
      </c>
      <c r="AB51" s="5" t="s">
        <v>332</v>
      </c>
      <c r="AC51" s="5" t="s">
        <v>333</v>
      </c>
      <c r="AD51" s="5" t="s">
        <v>44</v>
      </c>
    </row>
    <row r="52" spans="1:30" x14ac:dyDescent="0.3">
      <c r="A52" t="str">
        <f t="shared" si="29"/>
        <v>2021-08-26 10:06:00</v>
      </c>
      <c r="B52" t="str">
        <f t="shared" si="30"/>
        <v>Agiarudin /bp</v>
      </c>
      <c r="C52">
        <f t="shared" si="31"/>
        <v>87763244891</v>
      </c>
      <c r="D52" t="str">
        <f t="shared" si="32"/>
        <v>Nusa Tenggara Barat</v>
      </c>
      <c r="E52" t="str">
        <f t="shared" si="33"/>
        <v>Indra</v>
      </c>
      <c r="F52" t="str">
        <f t="shared" si="34"/>
        <v>b</v>
      </c>
      <c r="G52" t="str">
        <f t="shared" si="35"/>
        <v>b</v>
      </c>
      <c r="H52" t="str">
        <f t="shared" si="36"/>
        <v>3q</v>
      </c>
      <c r="I52" t="str">
        <f t="shared" si="37"/>
        <v>Repair Request (SDSS / SSR)</v>
      </c>
      <c r="J52" t="str">
        <f t="shared" si="38"/>
        <v>Reff 1D Local</v>
      </c>
      <c r="K52" t="str">
        <f t="shared" si="39"/>
        <v>SJ-X187MG-DB</v>
      </c>
      <c r="L52" t="str">
        <f t="shared" si="40"/>
        <v>Kompresor bunyi kasar</v>
      </c>
      <c r="M52" t="str">
        <f t="shared" si="41"/>
        <v>- 20B0Z22101015;D2133787 - CTI2CSMS</v>
      </c>
      <c r="N52" t="str">
        <f t="shared" si="42"/>
        <v>mg.sdh penjelasan/NONZ2</v>
      </c>
      <c r="Q52" s="5">
        <v>44434.42083333333</v>
      </c>
      <c r="R52" s="5" t="s">
        <v>117</v>
      </c>
      <c r="S52" s="5" t="s">
        <v>334</v>
      </c>
      <c r="T52" s="5">
        <v>87763244891</v>
      </c>
      <c r="U52" s="5" t="s">
        <v>15</v>
      </c>
      <c r="V52" s="5" t="s">
        <v>15</v>
      </c>
      <c r="W52" s="5" t="s">
        <v>335</v>
      </c>
      <c r="X52" s="5" t="s">
        <v>47</v>
      </c>
      <c r="Y52" s="5" t="s">
        <v>48</v>
      </c>
      <c r="Z52" s="5" t="s">
        <v>27</v>
      </c>
      <c r="AA52" s="5" t="s">
        <v>336</v>
      </c>
      <c r="AB52" s="5" t="s">
        <v>337</v>
      </c>
      <c r="AC52" s="5" t="s">
        <v>338</v>
      </c>
      <c r="AD52" s="5" t="s">
        <v>339</v>
      </c>
    </row>
    <row r="53" spans="1:30" x14ac:dyDescent="0.3">
      <c r="A53" t="str">
        <f t="shared" si="29"/>
        <v>2021-08-27 11:31:00</v>
      </c>
      <c r="B53" t="str">
        <f t="shared" si="30"/>
        <v>Della /Ibu</v>
      </c>
      <c r="C53">
        <f t="shared" si="31"/>
        <v>81266451097</v>
      </c>
      <c r="D53" t="str">
        <f t="shared" si="32"/>
        <v>Kepulauan Riau</v>
      </c>
      <c r="E53" t="str">
        <f t="shared" si="33"/>
        <v>Lulu</v>
      </c>
      <c r="F53" t="str">
        <f t="shared" si="34"/>
        <v>b</v>
      </c>
      <c r="G53" t="str">
        <f t="shared" si="35"/>
        <v>b</v>
      </c>
      <c r="H53" t="str">
        <f t="shared" si="36"/>
        <v>3m</v>
      </c>
      <c r="I53" t="str">
        <f t="shared" si="37"/>
        <v>Repair Request (Branch)</v>
      </c>
      <c r="J53" t="str">
        <f t="shared" si="38"/>
        <v>Washing M.Auto Local</v>
      </c>
      <c r="K53" t="str">
        <f t="shared" si="39"/>
        <v>ES-M906P-GBK</v>
      </c>
      <c r="L53" t="str">
        <f t="shared" si="40"/>
        <v>Proram error</v>
      </c>
      <c r="M53" t="str">
        <f t="shared" si="41"/>
        <v>202971881 3370136 ROBOT1</v>
      </c>
      <c r="N53" t="str">
        <f t="shared" si="42"/>
        <v>mg</v>
      </c>
      <c r="Q53" s="5">
        <v>44435.479861111111</v>
      </c>
      <c r="R53" s="5" t="s">
        <v>118</v>
      </c>
      <c r="S53" s="5" t="s">
        <v>340</v>
      </c>
      <c r="T53" s="5">
        <v>81266451097</v>
      </c>
      <c r="U53" s="5" t="s">
        <v>15</v>
      </c>
      <c r="V53" s="5" t="s">
        <v>15</v>
      </c>
      <c r="W53" s="5" t="s">
        <v>96</v>
      </c>
      <c r="X53" s="5" t="s">
        <v>40</v>
      </c>
      <c r="Y53" s="5" t="s">
        <v>41</v>
      </c>
      <c r="Z53" s="5" t="s">
        <v>113</v>
      </c>
      <c r="AA53" s="5" t="s">
        <v>341</v>
      </c>
      <c r="AB53" s="5" t="s">
        <v>342</v>
      </c>
      <c r="AC53" s="5" t="s">
        <v>343</v>
      </c>
      <c r="AD53" s="5" t="s">
        <v>51</v>
      </c>
    </row>
    <row r="54" spans="1:30" x14ac:dyDescent="0.3">
      <c r="A54" t="str">
        <f t="shared" si="29"/>
        <v>2021-08-25 08:38:00</v>
      </c>
      <c r="B54" t="str">
        <f t="shared" si="30"/>
        <v>Anisa /Ibu</v>
      </c>
      <c r="C54">
        <f t="shared" si="31"/>
        <v>85320343982</v>
      </c>
      <c r="D54" t="str">
        <f t="shared" si="32"/>
        <v>Jawa Barat</v>
      </c>
      <c r="E54" t="str">
        <f t="shared" si="33"/>
        <v>Lulu</v>
      </c>
      <c r="F54" t="str">
        <f t="shared" si="34"/>
        <v>b</v>
      </c>
      <c r="G54" t="str">
        <f t="shared" si="35"/>
        <v>b</v>
      </c>
      <c r="H54" t="str">
        <f t="shared" si="36"/>
        <v>3q</v>
      </c>
      <c r="I54" t="str">
        <f t="shared" si="37"/>
        <v>Repair Request (SDSS / SSR)</v>
      </c>
      <c r="J54" t="str">
        <f t="shared" si="38"/>
        <v>Washing M.Twin Tub Local</v>
      </c>
      <c r="K54" t="str">
        <f t="shared" si="39"/>
        <v>ES-T1090-VK</v>
      </c>
      <c r="L54" t="str">
        <f t="shared" si="40"/>
        <v>Bunyi berisik</v>
      </c>
      <c r="M54" t="str">
        <f t="shared" si="41"/>
        <v>- 13B1Z22141304;D2133540 - CTI2CSMS</v>
      </c>
      <c r="N54" t="str">
        <f t="shared" si="42"/>
        <v>mg /Tlpn.dulu</v>
      </c>
      <c r="Q54" s="5">
        <v>44433.359722222223</v>
      </c>
      <c r="R54" s="5" t="s">
        <v>118</v>
      </c>
      <c r="S54" s="5" t="s">
        <v>344</v>
      </c>
      <c r="T54" s="5">
        <v>85320343982</v>
      </c>
      <c r="U54" s="5" t="s">
        <v>15</v>
      </c>
      <c r="V54" s="5" t="s">
        <v>15</v>
      </c>
      <c r="W54" s="5" t="s">
        <v>32</v>
      </c>
      <c r="X54" s="5" t="s">
        <v>47</v>
      </c>
      <c r="Y54" s="5" t="s">
        <v>48</v>
      </c>
      <c r="Z54" s="5" t="s">
        <v>21</v>
      </c>
      <c r="AA54" s="5" t="s">
        <v>345</v>
      </c>
      <c r="AB54" s="5" t="s">
        <v>346</v>
      </c>
      <c r="AC54" s="5" t="s">
        <v>347</v>
      </c>
      <c r="AD54" s="5" t="s">
        <v>348</v>
      </c>
    </row>
    <row r="55" spans="1:30" x14ac:dyDescent="0.3">
      <c r="A55" t="str">
        <f t="shared" si="29"/>
        <v>2021-08-26 09:59:00</v>
      </c>
      <c r="B55" t="str">
        <f t="shared" si="30"/>
        <v>Nuriani /Ibu</v>
      </c>
      <c r="C55">
        <f t="shared" si="31"/>
        <v>85397620005</v>
      </c>
      <c r="D55" t="str">
        <f t="shared" si="32"/>
        <v>Sulawesi Selatan</v>
      </c>
      <c r="E55" t="str">
        <f t="shared" si="33"/>
        <v>Lulu</v>
      </c>
      <c r="F55" t="str">
        <f t="shared" si="34"/>
        <v>a</v>
      </c>
      <c r="G55" t="str">
        <f t="shared" si="35"/>
        <v>a</v>
      </c>
      <c r="H55" t="str">
        <f t="shared" si="36"/>
        <v>3q</v>
      </c>
      <c r="I55" t="str">
        <f t="shared" si="37"/>
        <v>Repair Request (SDSS / SSR)</v>
      </c>
      <c r="J55" t="str">
        <f t="shared" si="38"/>
        <v>Reff 2D Import</v>
      </c>
      <c r="K55" t="str">
        <f t="shared" si="39"/>
        <v>SJ-P561NLV-SL</v>
      </c>
      <c r="L55" t="str">
        <f t="shared" si="40"/>
        <v>Lampu mati</v>
      </c>
      <c r="M55" t="str">
        <f t="shared" si="41"/>
        <v>- 28A7Z22100602;D2133785 - CTI2CSMS</v>
      </c>
      <c r="N55" t="str">
        <f t="shared" si="42"/>
        <v>mg</v>
      </c>
      <c r="Q55" s="5">
        <v>44434.415972222225</v>
      </c>
      <c r="R55" s="5" t="s">
        <v>118</v>
      </c>
      <c r="S55" s="5" t="s">
        <v>349</v>
      </c>
      <c r="T55" s="5">
        <v>85397620005</v>
      </c>
      <c r="U55" s="5" t="s">
        <v>19</v>
      </c>
      <c r="V55" s="5" t="s">
        <v>19</v>
      </c>
      <c r="W55" s="5" t="s">
        <v>78</v>
      </c>
      <c r="X55" s="5" t="s">
        <v>47</v>
      </c>
      <c r="Y55" s="5" t="s">
        <v>48</v>
      </c>
      <c r="Z55" s="5" t="s">
        <v>42</v>
      </c>
      <c r="AA55" s="5" t="s">
        <v>350</v>
      </c>
      <c r="AB55" s="5" t="s">
        <v>351</v>
      </c>
      <c r="AC55" s="5" t="s">
        <v>352</v>
      </c>
      <c r="AD55" s="5" t="s">
        <v>51</v>
      </c>
    </row>
    <row r="56" spans="1:30" x14ac:dyDescent="0.3">
      <c r="A56" t="str">
        <f t="shared" si="29"/>
        <v>2021-08-18 09:17:00</v>
      </c>
      <c r="B56" t="str">
        <f t="shared" si="30"/>
        <v>Togu /bp</v>
      </c>
      <c r="C56">
        <f t="shared" si="31"/>
        <v>85765192025</v>
      </c>
      <c r="D56">
        <f t="shared" si="32"/>
        <v>37</v>
      </c>
      <c r="E56" t="str">
        <f t="shared" si="33"/>
        <v>Malik</v>
      </c>
      <c r="F56" t="str">
        <f t="shared" si="34"/>
        <v>b</v>
      </c>
      <c r="G56" t="str">
        <f t="shared" si="35"/>
        <v>b</v>
      </c>
      <c r="H56" t="str">
        <f t="shared" si="36"/>
        <v>3m</v>
      </c>
      <c r="I56" t="str">
        <f t="shared" si="37"/>
        <v>Repair Request (Branch)</v>
      </c>
      <c r="J56" t="str">
        <f t="shared" si="38"/>
        <v>Washing M.Auto</v>
      </c>
      <c r="K56" t="str">
        <f t="shared" si="39"/>
        <v>ES-H758T-GY</v>
      </c>
      <c r="L56" t="str">
        <f t="shared" si="40"/>
        <v>eror e2</v>
      </c>
      <c r="M56" t="str">
        <f t="shared" si="41"/>
        <v>202963577 3361745 ROBOT1</v>
      </c>
      <c r="N56" t="str">
        <f t="shared" si="42"/>
        <v>mg</v>
      </c>
      <c r="Q56" s="5">
        <v>44426.386805555558</v>
      </c>
      <c r="R56" s="5" t="s">
        <v>353</v>
      </c>
      <c r="S56" s="5" t="s">
        <v>354</v>
      </c>
      <c r="T56" s="5">
        <v>85765192025</v>
      </c>
      <c r="U56" s="5" t="s">
        <v>15</v>
      </c>
      <c r="V56" s="5" t="s">
        <v>15</v>
      </c>
      <c r="W56" s="5">
        <v>37</v>
      </c>
      <c r="X56" s="5" t="s">
        <v>40</v>
      </c>
      <c r="Y56" s="5" t="s">
        <v>41</v>
      </c>
      <c r="Z56" s="5" t="s">
        <v>45</v>
      </c>
      <c r="AA56" s="5" t="s">
        <v>355</v>
      </c>
      <c r="AB56" s="5" t="s">
        <v>356</v>
      </c>
      <c r="AC56" s="5" t="s">
        <v>357</v>
      </c>
      <c r="AD56" s="5" t="s">
        <v>51</v>
      </c>
    </row>
    <row r="57" spans="1:30" x14ac:dyDescent="0.3">
      <c r="A57" t="str">
        <f t="shared" si="29"/>
        <v>2021-08-30 13:41:00</v>
      </c>
      <c r="B57" t="str">
        <f t="shared" si="30"/>
        <v>Arif nugroho /bp</v>
      </c>
      <c r="C57">
        <f t="shared" si="31"/>
        <v>81317417371</v>
      </c>
      <c r="D57" t="str">
        <f t="shared" si="32"/>
        <v>Jawa Timur</v>
      </c>
      <c r="E57" t="str">
        <f t="shared" si="33"/>
        <v>Malik</v>
      </c>
      <c r="F57" t="str">
        <f t="shared" si="34"/>
        <v>a</v>
      </c>
      <c r="G57" t="str">
        <f t="shared" si="35"/>
        <v>a</v>
      </c>
      <c r="H57" t="str">
        <f t="shared" si="36"/>
        <v>3m</v>
      </c>
      <c r="I57" t="str">
        <f t="shared" si="37"/>
        <v>Repair Request (Branch)</v>
      </c>
      <c r="J57" t="str">
        <f t="shared" si="38"/>
        <v>Washing M.Auto</v>
      </c>
      <c r="K57" t="str">
        <f t="shared" si="39"/>
        <v>ES-F950P-GY</v>
      </c>
      <c r="L57" t="str">
        <f t="shared" si="40"/>
        <v>tidak berputar</v>
      </c>
      <c r="M57" t="str">
        <f t="shared" si="41"/>
        <v>202973709 3372175 ROBOT1</v>
      </c>
      <c r="N57" t="str">
        <f t="shared" si="42"/>
        <v>hg / hub</v>
      </c>
      <c r="Q57" s="5">
        <v>44438.570138888892</v>
      </c>
      <c r="R57" s="5" t="s">
        <v>353</v>
      </c>
      <c r="S57" s="5" t="s">
        <v>358</v>
      </c>
      <c r="T57" s="5">
        <v>81317417371</v>
      </c>
      <c r="U57" s="5" t="s">
        <v>19</v>
      </c>
      <c r="V57" s="5" t="s">
        <v>19</v>
      </c>
      <c r="W57" s="5" t="s">
        <v>31</v>
      </c>
      <c r="X57" s="5" t="s">
        <v>40</v>
      </c>
      <c r="Y57" s="5" t="s">
        <v>41</v>
      </c>
      <c r="Z57" s="5" t="s">
        <v>45</v>
      </c>
      <c r="AA57" s="5" t="s">
        <v>54</v>
      </c>
      <c r="AB57" s="5" t="s">
        <v>359</v>
      </c>
      <c r="AC57" s="5" t="s">
        <v>360</v>
      </c>
      <c r="AD57" s="5" t="s">
        <v>361</v>
      </c>
    </row>
    <row r="58" spans="1:30" x14ac:dyDescent="0.3">
      <c r="A58" t="str">
        <f t="shared" si="29"/>
        <v>2021-08-25 14:22:00</v>
      </c>
      <c r="B58" t="str">
        <f t="shared" si="30"/>
        <v>sasmita /ibu</v>
      </c>
      <c r="C58">
        <f t="shared" si="31"/>
        <v>82361527035</v>
      </c>
      <c r="D58" t="str">
        <f t="shared" si="32"/>
        <v>Sumatera Utara</v>
      </c>
      <c r="E58" t="str">
        <f t="shared" si="33"/>
        <v>Malik</v>
      </c>
      <c r="F58" t="str">
        <f t="shared" si="34"/>
        <v>b</v>
      </c>
      <c r="G58" t="str">
        <f t="shared" si="35"/>
        <v>a</v>
      </c>
      <c r="H58" t="str">
        <f t="shared" si="36"/>
        <v>3m</v>
      </c>
      <c r="I58" t="str">
        <f t="shared" si="37"/>
        <v>Repair Request (Branch)</v>
      </c>
      <c r="J58" t="str">
        <f t="shared" si="38"/>
        <v>LED 32"</v>
      </c>
      <c r="K58" t="str">
        <f t="shared" si="39"/>
        <v>2T-C32BA1I</v>
      </c>
      <c r="L58" t="str">
        <f t="shared" si="40"/>
        <v>suara pecah</v>
      </c>
      <c r="M58" t="str">
        <f t="shared" si="41"/>
        <v>202969960 3368166 ROBOT1</v>
      </c>
      <c r="N58" t="str">
        <f t="shared" si="42"/>
        <v>MG</v>
      </c>
      <c r="Q58" s="5">
        <v>44433.598611111112</v>
      </c>
      <c r="R58" s="5" t="s">
        <v>353</v>
      </c>
      <c r="S58" s="5" t="s">
        <v>362</v>
      </c>
      <c r="T58" s="5">
        <v>82361527035</v>
      </c>
      <c r="U58" s="5" t="s">
        <v>15</v>
      </c>
      <c r="V58" s="5" t="s">
        <v>19</v>
      </c>
      <c r="W58" s="5" t="s">
        <v>52</v>
      </c>
      <c r="X58" s="5" t="s">
        <v>40</v>
      </c>
      <c r="Y58" s="5" t="s">
        <v>41</v>
      </c>
      <c r="Z58" s="5" t="s">
        <v>30</v>
      </c>
      <c r="AA58" s="5" t="s">
        <v>111</v>
      </c>
      <c r="AB58" s="5" t="s">
        <v>363</v>
      </c>
      <c r="AC58" s="5" t="s">
        <v>364</v>
      </c>
      <c r="AD58" s="5" t="s">
        <v>174</v>
      </c>
    </row>
    <row r="59" spans="1:30" x14ac:dyDescent="0.3">
      <c r="A59" t="str">
        <f t="shared" si="29"/>
        <v>2021-08-18 08:36:00</v>
      </c>
      <c r="B59" t="str">
        <f t="shared" si="30"/>
        <v>Sarial /Bp</v>
      </c>
      <c r="C59">
        <f t="shared" si="31"/>
        <v>81218919756</v>
      </c>
      <c r="D59" t="str">
        <f t="shared" si="32"/>
        <v>Nanggroe Aceh Darussalam</v>
      </c>
      <c r="E59" t="str">
        <f t="shared" si="33"/>
        <v>Mariana</v>
      </c>
      <c r="F59" t="str">
        <f t="shared" si="34"/>
        <v>a</v>
      </c>
      <c r="G59" t="str">
        <f t="shared" si="35"/>
        <v>a</v>
      </c>
      <c r="H59" t="str">
        <f t="shared" si="36"/>
        <v>3q</v>
      </c>
      <c r="I59" t="str">
        <f t="shared" si="37"/>
        <v>Repair Request (SDSS / SSR)</v>
      </c>
      <c r="J59" t="str">
        <f t="shared" si="38"/>
        <v>Washing M.Twin Tub Local</v>
      </c>
      <c r="K59" t="str">
        <f t="shared" si="39"/>
        <v>ES-T90MW-BK</v>
      </c>
      <c r="L59" t="str">
        <f t="shared" si="40"/>
        <v>tidak mutar</v>
      </c>
      <c r="M59" t="str">
        <f t="shared" si="41"/>
        <v>- 24A1Z22100799;D2132583 - CTI2CSMS</v>
      </c>
      <c r="N59" t="str">
        <f t="shared" si="42"/>
        <v>mg/beli 21.8.20</v>
      </c>
      <c r="Q59" s="5">
        <v>44426.35833333333</v>
      </c>
      <c r="R59" s="5" t="s">
        <v>119</v>
      </c>
      <c r="S59" s="5" t="s">
        <v>365</v>
      </c>
      <c r="T59" s="5">
        <v>81218919756</v>
      </c>
      <c r="U59" s="5" t="s">
        <v>19</v>
      </c>
      <c r="V59" s="5" t="s">
        <v>19</v>
      </c>
      <c r="W59" s="5" t="s">
        <v>366</v>
      </c>
      <c r="X59" s="5" t="s">
        <v>47</v>
      </c>
      <c r="Y59" s="5" t="s">
        <v>48</v>
      </c>
      <c r="Z59" s="5" t="s">
        <v>21</v>
      </c>
      <c r="AA59" s="5" t="s">
        <v>367</v>
      </c>
      <c r="AB59" s="5" t="s">
        <v>310</v>
      </c>
      <c r="AC59" s="5" t="s">
        <v>368</v>
      </c>
      <c r="AD59" s="5" t="s">
        <v>369</v>
      </c>
    </row>
    <row r="60" spans="1:30" x14ac:dyDescent="0.3">
      <c r="A60" t="str">
        <f t="shared" si="29"/>
        <v>2021-08-26 08:09:00</v>
      </c>
      <c r="B60" t="str">
        <f t="shared" si="30"/>
        <v>Tirta /Bp</v>
      </c>
      <c r="C60">
        <f t="shared" si="31"/>
        <v>82251108797</v>
      </c>
      <c r="D60" t="str">
        <f t="shared" si="32"/>
        <v>Kalimantan Tengah</v>
      </c>
      <c r="E60" t="str">
        <f t="shared" si="33"/>
        <v>Mariana</v>
      </c>
      <c r="F60" t="str">
        <f t="shared" si="34"/>
        <v>a</v>
      </c>
      <c r="G60" t="str">
        <f t="shared" si="35"/>
        <v>a</v>
      </c>
      <c r="H60" t="str">
        <f t="shared" si="36"/>
        <v>3q</v>
      </c>
      <c r="I60" t="str">
        <f t="shared" si="37"/>
        <v>Repair Request (SDSS / SSR)</v>
      </c>
      <c r="J60" t="str">
        <f t="shared" si="38"/>
        <v>Washing M.Twin Tub Local</v>
      </c>
      <c r="K60" t="str">
        <f t="shared" si="39"/>
        <v>ES-T85CR-VK</v>
      </c>
      <c r="L60" t="str">
        <f t="shared" si="40"/>
        <v>air terbuang terus</v>
      </c>
      <c r="M60" t="str">
        <f t="shared" si="41"/>
        <v>- 22B0Z22100503;D2133740 - CTI2CSMS</v>
      </c>
      <c r="N60" t="str">
        <f t="shared" si="42"/>
        <v>hg</v>
      </c>
      <c r="Q60" s="5">
        <v>44434.339583333334</v>
      </c>
      <c r="R60" s="5" t="s">
        <v>119</v>
      </c>
      <c r="S60" s="5" t="s">
        <v>370</v>
      </c>
      <c r="T60" s="5">
        <v>82251108797</v>
      </c>
      <c r="U60" s="5" t="s">
        <v>19</v>
      </c>
      <c r="V60" s="5" t="s">
        <v>19</v>
      </c>
      <c r="W60" s="5" t="s">
        <v>371</v>
      </c>
      <c r="X60" s="5" t="s">
        <v>47</v>
      </c>
      <c r="Y60" s="5" t="s">
        <v>48</v>
      </c>
      <c r="Z60" s="5" t="s">
        <v>21</v>
      </c>
      <c r="AA60" s="5" t="s">
        <v>372</v>
      </c>
      <c r="AB60" s="5" t="s">
        <v>373</v>
      </c>
      <c r="AC60" s="5" t="s">
        <v>374</v>
      </c>
      <c r="AD60" s="5" t="s">
        <v>44</v>
      </c>
    </row>
    <row r="61" spans="1:30" x14ac:dyDescent="0.3">
      <c r="A61" t="str">
        <f t="shared" si="29"/>
        <v>2021-08-26 10:01:00</v>
      </c>
      <c r="B61" t="str">
        <f t="shared" si="30"/>
        <v>masdawati /ibu</v>
      </c>
      <c r="C61">
        <f t="shared" si="31"/>
        <v>85255431894</v>
      </c>
      <c r="D61" t="str">
        <f t="shared" si="32"/>
        <v>Sulawesi Barat</v>
      </c>
      <c r="E61" t="str">
        <f t="shared" si="33"/>
        <v>Mariana</v>
      </c>
      <c r="F61" t="str">
        <f t="shared" si="34"/>
        <v>a</v>
      </c>
      <c r="G61" t="str">
        <f t="shared" si="35"/>
        <v>b</v>
      </c>
      <c r="H61" t="str">
        <f t="shared" si="36"/>
        <v>3q</v>
      </c>
      <c r="I61" t="str">
        <f t="shared" si="37"/>
        <v>Repair Request (SDSS / SSR)</v>
      </c>
      <c r="J61" t="str">
        <f t="shared" si="38"/>
        <v>Washing M.Auto</v>
      </c>
      <c r="K61" t="str">
        <f t="shared" si="39"/>
        <v>ES-N85KY-G</v>
      </c>
      <c r="L61" t="str">
        <f t="shared" si="40"/>
        <v>air terbuang terus</v>
      </c>
      <c r="M61" t="str">
        <f t="shared" si="41"/>
        <v>- 28A5Z22100742;D2133780 - CTI2CSMS</v>
      </c>
      <c r="N61" t="str">
        <f t="shared" si="42"/>
        <v>hg</v>
      </c>
      <c r="Q61" s="5">
        <v>44434.417361111111</v>
      </c>
      <c r="R61" s="5" t="s">
        <v>119</v>
      </c>
      <c r="S61" s="5" t="s">
        <v>375</v>
      </c>
      <c r="T61" s="5">
        <v>85255431894</v>
      </c>
      <c r="U61" s="5" t="s">
        <v>19</v>
      </c>
      <c r="V61" s="5" t="s">
        <v>15</v>
      </c>
      <c r="W61" s="5" t="s">
        <v>376</v>
      </c>
      <c r="X61" s="5" t="s">
        <v>47</v>
      </c>
      <c r="Y61" s="5" t="s">
        <v>48</v>
      </c>
      <c r="Z61" s="5" t="s">
        <v>45</v>
      </c>
      <c r="AA61" s="5" t="s">
        <v>377</v>
      </c>
      <c r="AB61" s="5" t="s">
        <v>373</v>
      </c>
      <c r="AC61" s="5" t="s">
        <v>378</v>
      </c>
      <c r="AD61" s="5" t="s">
        <v>44</v>
      </c>
    </row>
    <row r="62" spans="1:30" x14ac:dyDescent="0.3">
      <c r="A62" t="str">
        <f t="shared" si="29"/>
        <v>2021-08-21 09:56:00</v>
      </c>
      <c r="B62" t="str">
        <f t="shared" si="30"/>
        <v>Vivien /ibu</v>
      </c>
      <c r="C62">
        <f t="shared" si="31"/>
        <v>214707983</v>
      </c>
      <c r="D62" t="str">
        <f t="shared" si="32"/>
        <v>Jakarta</v>
      </c>
      <c r="E62" t="str">
        <f t="shared" si="33"/>
        <v>Nurdiansyah</v>
      </c>
      <c r="F62" t="str">
        <f t="shared" si="34"/>
        <v>a</v>
      </c>
      <c r="G62" t="str">
        <f t="shared" si="35"/>
        <v>b</v>
      </c>
      <c r="H62" t="str">
        <f t="shared" si="36"/>
        <v>3a</v>
      </c>
      <c r="I62" t="str">
        <f t="shared" si="37"/>
        <v>Repair/Notification Request</v>
      </c>
      <c r="J62" t="str">
        <f t="shared" si="38"/>
        <v>Reff 2D Import</v>
      </c>
      <c r="K62" t="str">
        <f t="shared" si="39"/>
        <v>SJ-P851NLV-BE</v>
      </c>
      <c r="L62" t="str">
        <f t="shared" si="40"/>
        <v>tidak dingin</v>
      </c>
      <c r="M62" t="str">
        <f t="shared" si="41"/>
        <v>202966309 3364462 ROBOT1</v>
      </c>
      <c r="N62" t="str">
        <f t="shared" si="42"/>
        <v>hg/nonz2</v>
      </c>
      <c r="Q62" s="5">
        <v>44429.413888888892</v>
      </c>
      <c r="R62" s="5" t="s">
        <v>102</v>
      </c>
      <c r="S62" s="5" t="s">
        <v>379</v>
      </c>
      <c r="T62" s="5">
        <v>214707983</v>
      </c>
      <c r="U62" s="5" t="s">
        <v>19</v>
      </c>
      <c r="V62" s="5" t="s">
        <v>15</v>
      </c>
      <c r="W62" s="5" t="s">
        <v>33</v>
      </c>
      <c r="X62" s="5" t="s">
        <v>16</v>
      </c>
      <c r="Y62" s="5" t="s">
        <v>17</v>
      </c>
      <c r="Z62" s="5" t="s">
        <v>42</v>
      </c>
      <c r="AA62" s="5" t="s">
        <v>380</v>
      </c>
      <c r="AB62" s="5" t="s">
        <v>24</v>
      </c>
      <c r="AC62" s="5" t="s">
        <v>381</v>
      </c>
      <c r="AD62" s="5" t="s">
        <v>103</v>
      </c>
    </row>
    <row r="63" spans="1:30" x14ac:dyDescent="0.3">
      <c r="A63" t="str">
        <f t="shared" si="29"/>
        <v>2021-08-21 09:06:00</v>
      </c>
      <c r="B63" t="str">
        <f t="shared" si="30"/>
        <v>nita /ibu (st12b0)</v>
      </c>
      <c r="C63">
        <f t="shared" si="31"/>
        <v>81385474030</v>
      </c>
      <c r="D63" t="str">
        <f t="shared" si="32"/>
        <v>Banten</v>
      </c>
      <c r="E63" t="str">
        <f t="shared" si="33"/>
        <v>Nurdiansyah</v>
      </c>
      <c r="F63" t="str">
        <f t="shared" si="34"/>
        <v>b</v>
      </c>
      <c r="G63" t="str">
        <f t="shared" si="35"/>
        <v>a</v>
      </c>
      <c r="H63" t="str">
        <f t="shared" si="36"/>
        <v>3a</v>
      </c>
      <c r="I63" t="str">
        <f t="shared" si="37"/>
        <v>Repair/Notification Request</v>
      </c>
      <c r="J63" t="str">
        <f t="shared" si="38"/>
        <v>Washing M.Auto</v>
      </c>
      <c r="K63" t="str">
        <f t="shared" si="39"/>
        <v>ES-FL1082</v>
      </c>
      <c r="L63" t="str">
        <f t="shared" si="40"/>
        <v>proses drain error</v>
      </c>
      <c r="M63" t="str">
        <f t="shared" si="41"/>
        <v>202966275 3364446 ROBOT1</v>
      </c>
      <c r="N63" t="str">
        <f t="shared" si="42"/>
        <v>hg</v>
      </c>
      <c r="Q63" s="5">
        <v>44429.379166666666</v>
      </c>
      <c r="R63" s="5" t="s">
        <v>102</v>
      </c>
      <c r="S63" s="5" t="s">
        <v>382</v>
      </c>
      <c r="T63" s="5">
        <v>81385474030</v>
      </c>
      <c r="U63" s="5" t="s">
        <v>15</v>
      </c>
      <c r="V63" s="5" t="s">
        <v>19</v>
      </c>
      <c r="W63" s="5" t="s">
        <v>170</v>
      </c>
      <c r="X63" s="5" t="s">
        <v>16</v>
      </c>
      <c r="Y63" s="5" t="s">
        <v>17</v>
      </c>
      <c r="Z63" s="5" t="s">
        <v>45</v>
      </c>
      <c r="AA63" s="5" t="s">
        <v>100</v>
      </c>
      <c r="AB63" s="5" t="s">
        <v>383</v>
      </c>
      <c r="AC63" s="5" t="s">
        <v>384</v>
      </c>
      <c r="AD63" s="5" t="s">
        <v>44</v>
      </c>
    </row>
    <row r="64" spans="1:30" x14ac:dyDescent="0.3">
      <c r="A64" t="str">
        <f t="shared" si="29"/>
        <v>2021-08-21 14:35:00</v>
      </c>
      <c r="B64" t="str">
        <f t="shared" si="30"/>
        <v>afong /ibu</v>
      </c>
      <c r="C64">
        <f t="shared" si="31"/>
        <v>81297727519</v>
      </c>
      <c r="D64" t="str">
        <f t="shared" si="32"/>
        <v>Jakarta</v>
      </c>
      <c r="E64" t="str">
        <f t="shared" si="33"/>
        <v>Nurdiansyah</v>
      </c>
      <c r="F64" t="str">
        <f t="shared" si="34"/>
        <v>b</v>
      </c>
      <c r="G64" t="str">
        <f t="shared" si="35"/>
        <v>b</v>
      </c>
      <c r="H64" t="str">
        <f t="shared" si="36"/>
        <v>3a</v>
      </c>
      <c r="I64" t="str">
        <f t="shared" si="37"/>
        <v>Repair/Notification Request</v>
      </c>
      <c r="J64" t="str">
        <f t="shared" si="38"/>
        <v>Room Air Con</v>
      </c>
      <c r="K64" t="str">
        <f t="shared" si="39"/>
        <v>AH-A5UCY</v>
      </c>
      <c r="L64" t="str">
        <f t="shared" si="40"/>
        <v>fan indoor mati</v>
      </c>
      <c r="M64" t="str">
        <f t="shared" si="41"/>
        <v>202966467 3364560 ROBOT1</v>
      </c>
      <c r="N64" t="str">
        <f t="shared" si="42"/>
        <v>mg</v>
      </c>
      <c r="Q64" s="5">
        <v>44429.607638888891</v>
      </c>
      <c r="R64" s="5" t="s">
        <v>102</v>
      </c>
      <c r="S64" s="5" t="s">
        <v>385</v>
      </c>
      <c r="T64" s="5">
        <v>81297727519</v>
      </c>
      <c r="U64" s="5" t="s">
        <v>15</v>
      </c>
      <c r="V64" s="5" t="s">
        <v>15</v>
      </c>
      <c r="W64" s="5" t="s">
        <v>33</v>
      </c>
      <c r="X64" s="5" t="s">
        <v>16</v>
      </c>
      <c r="Y64" s="5" t="s">
        <v>17</v>
      </c>
      <c r="Z64" s="5" t="s">
        <v>20</v>
      </c>
      <c r="AA64" s="5" t="s">
        <v>61</v>
      </c>
      <c r="AB64" s="5" t="s">
        <v>386</v>
      </c>
      <c r="AC64" s="5" t="s">
        <v>387</v>
      </c>
      <c r="AD64" s="5" t="s">
        <v>51</v>
      </c>
    </row>
    <row r="65" spans="1:30" x14ac:dyDescent="0.3">
      <c r="A65" t="str">
        <f t="shared" si="29"/>
        <v>2021-08-16 11:00:00</v>
      </c>
      <c r="B65" t="str">
        <f t="shared" si="30"/>
        <v>Vanesha /Ibu</v>
      </c>
      <c r="C65">
        <f t="shared" si="31"/>
        <v>82339458626</v>
      </c>
      <c r="D65" t="str">
        <f t="shared" si="32"/>
        <v>Daerah Istimewa Yogyakarta</v>
      </c>
      <c r="E65" t="str">
        <f t="shared" si="33"/>
        <v>Okti</v>
      </c>
      <c r="F65" t="str">
        <f t="shared" si="34"/>
        <v>a</v>
      </c>
      <c r="G65" t="str">
        <f t="shared" si="35"/>
        <v>b</v>
      </c>
      <c r="H65" t="str">
        <f t="shared" si="36"/>
        <v>3m</v>
      </c>
      <c r="I65" t="str">
        <f t="shared" si="37"/>
        <v>Repair Request (Branch)</v>
      </c>
      <c r="J65" t="str">
        <f t="shared" si="38"/>
        <v>Room Air Con</v>
      </c>
      <c r="K65" t="str">
        <f t="shared" si="39"/>
        <v>AH-AP9UHL</v>
      </c>
      <c r="L65" t="str">
        <f t="shared" si="40"/>
        <v>Mati total/Cek garansi</v>
      </c>
      <c r="M65" t="str">
        <f t="shared" si="41"/>
        <v>202962393 3360567 ROBOT1</v>
      </c>
      <c r="N65" t="str">
        <f t="shared" si="42"/>
        <v>Mg</v>
      </c>
      <c r="Q65" s="5">
        <v>44424.458333333336</v>
      </c>
      <c r="R65" s="5" t="s">
        <v>388</v>
      </c>
      <c r="S65" s="5" t="s">
        <v>389</v>
      </c>
      <c r="T65" s="5">
        <v>82339458626</v>
      </c>
      <c r="U65" s="5" t="s">
        <v>19</v>
      </c>
      <c r="V65" s="5" t="s">
        <v>15</v>
      </c>
      <c r="W65" s="5" t="s">
        <v>87</v>
      </c>
      <c r="X65" s="5" t="s">
        <v>40</v>
      </c>
      <c r="Y65" s="5" t="s">
        <v>41</v>
      </c>
      <c r="Z65" s="5" t="s">
        <v>20</v>
      </c>
      <c r="AA65" s="5" t="s">
        <v>125</v>
      </c>
      <c r="AB65" s="5" t="s">
        <v>390</v>
      </c>
      <c r="AC65" s="5" t="s">
        <v>391</v>
      </c>
      <c r="AD65" s="5" t="s">
        <v>106</v>
      </c>
    </row>
    <row r="66" spans="1:30" x14ac:dyDescent="0.3">
      <c r="A66" t="str">
        <f t="shared" si="29"/>
        <v>2021-08-20 17:12:00</v>
      </c>
      <c r="B66" t="str">
        <f t="shared" si="30"/>
        <v>Nur /Ibu</v>
      </c>
      <c r="C66">
        <f t="shared" si="31"/>
        <v>895358905838</v>
      </c>
      <c r="D66" t="str">
        <f t="shared" si="32"/>
        <v>Jawa Tengah</v>
      </c>
      <c r="E66" t="str">
        <f t="shared" si="33"/>
        <v>Okti</v>
      </c>
      <c r="F66" t="str">
        <f t="shared" si="34"/>
        <v>b</v>
      </c>
      <c r="G66" t="str">
        <f t="shared" si="35"/>
        <v>b</v>
      </c>
      <c r="H66" t="str">
        <f t="shared" si="36"/>
        <v>3q</v>
      </c>
      <c r="I66" t="str">
        <f t="shared" si="37"/>
        <v>Repair Request (SDSS / SSR)</v>
      </c>
      <c r="J66" t="str">
        <f t="shared" si="38"/>
        <v>Reff 1D Local</v>
      </c>
      <c r="K66" t="str">
        <f t="shared" si="39"/>
        <v>SJ-X167MG-DB</v>
      </c>
      <c r="L66" t="str">
        <f t="shared" si="40"/>
        <v>Bunyi berisik/URGENT</v>
      </c>
      <c r="M66" t="str">
        <f t="shared" si="41"/>
        <v>- 17A1Z22100442;D2133046 - CTI2CSMS</v>
      </c>
      <c r="N66" t="str">
        <f t="shared" si="42"/>
        <v>Mg</v>
      </c>
      <c r="Q66" s="5">
        <v>44428.716666666667</v>
      </c>
      <c r="R66" s="5" t="s">
        <v>388</v>
      </c>
      <c r="S66" s="5" t="s">
        <v>392</v>
      </c>
      <c r="T66" s="5">
        <v>895358905838</v>
      </c>
      <c r="U66" s="5" t="s">
        <v>15</v>
      </c>
      <c r="V66" s="5" t="s">
        <v>15</v>
      </c>
      <c r="W66" s="5" t="s">
        <v>56</v>
      </c>
      <c r="X66" s="5" t="s">
        <v>47</v>
      </c>
      <c r="Y66" s="5" t="s">
        <v>48</v>
      </c>
      <c r="Z66" s="5" t="s">
        <v>27</v>
      </c>
      <c r="AA66" s="5" t="s">
        <v>393</v>
      </c>
      <c r="AB66" s="5" t="s">
        <v>394</v>
      </c>
      <c r="AC66" s="5" t="s">
        <v>395</v>
      </c>
      <c r="AD66" s="5" t="s">
        <v>106</v>
      </c>
    </row>
    <row r="67" spans="1:30" x14ac:dyDescent="0.3">
      <c r="A67" t="str">
        <f t="shared" si="29"/>
        <v>2021-08-23 09:06:00</v>
      </c>
      <c r="B67" t="str">
        <f t="shared" si="30"/>
        <v>Melly /Ibu</v>
      </c>
      <c r="C67">
        <f t="shared" si="31"/>
        <v>81287360281</v>
      </c>
      <c r="D67" t="str">
        <f t="shared" si="32"/>
        <v>Banten</v>
      </c>
      <c r="E67" t="str">
        <f t="shared" si="33"/>
        <v>Okti</v>
      </c>
      <c r="F67" t="str">
        <f t="shared" si="34"/>
        <v>a</v>
      </c>
      <c r="G67" t="str">
        <f t="shared" si="35"/>
        <v>b</v>
      </c>
      <c r="H67" t="str">
        <f t="shared" si="36"/>
        <v>3q</v>
      </c>
      <c r="I67" t="str">
        <f t="shared" si="37"/>
        <v>Repair Request (SDSS / SSR)</v>
      </c>
      <c r="J67" t="str">
        <f t="shared" si="38"/>
        <v>Reff 2D Local</v>
      </c>
      <c r="K67" t="str">
        <f t="shared" si="39"/>
        <v>SJ-236MG-GR</v>
      </c>
      <c r="L67" t="str">
        <f t="shared" si="40"/>
        <v>Ada bunga es terus/URGENT</v>
      </c>
      <c r="M67" t="str">
        <f t="shared" si="41"/>
        <v>- 11A7Z22143147;D2133155 - CTI2CSMS</v>
      </c>
      <c r="N67" t="str">
        <f t="shared" si="42"/>
        <v>Hg</v>
      </c>
      <c r="Q67" s="5">
        <v>44431.379166666666</v>
      </c>
      <c r="R67" s="5" t="s">
        <v>388</v>
      </c>
      <c r="S67" s="5" t="s">
        <v>396</v>
      </c>
      <c r="T67" s="5">
        <v>81287360281</v>
      </c>
      <c r="U67" s="5" t="s">
        <v>19</v>
      </c>
      <c r="V67" s="5" t="s">
        <v>15</v>
      </c>
      <c r="W67" s="5" t="s">
        <v>170</v>
      </c>
      <c r="X67" s="5" t="s">
        <v>47</v>
      </c>
      <c r="Y67" s="5" t="s">
        <v>48</v>
      </c>
      <c r="Z67" s="5" t="s">
        <v>25</v>
      </c>
      <c r="AA67" s="5" t="s">
        <v>397</v>
      </c>
      <c r="AB67" s="5" t="s">
        <v>398</v>
      </c>
      <c r="AC67" s="5" t="s">
        <v>399</v>
      </c>
      <c r="AD67" s="5" t="s">
        <v>64</v>
      </c>
    </row>
    <row r="68" spans="1:30" x14ac:dyDescent="0.3">
      <c r="A68" t="str">
        <f t="shared" si="29"/>
        <v>2021-08-14 15:00:00</v>
      </c>
      <c r="B68" t="str">
        <f t="shared" si="30"/>
        <v>Nani /ibu</v>
      </c>
      <c r="C68">
        <f t="shared" si="31"/>
        <v>87778666371</v>
      </c>
      <c r="D68" t="str">
        <f t="shared" si="32"/>
        <v>Jawa Barat</v>
      </c>
      <c r="E68" t="str">
        <f t="shared" si="33"/>
        <v>Oliv</v>
      </c>
      <c r="F68" t="str">
        <f t="shared" si="34"/>
        <v>a</v>
      </c>
      <c r="G68" t="str">
        <f t="shared" si="35"/>
        <v>b</v>
      </c>
      <c r="H68" t="str">
        <f t="shared" si="36"/>
        <v>3m</v>
      </c>
      <c r="I68" t="str">
        <f t="shared" si="37"/>
        <v>Repair Request (Branch)</v>
      </c>
      <c r="J68" t="str">
        <f t="shared" si="38"/>
        <v>Washing M.Twin Tub Local</v>
      </c>
      <c r="K68" t="str">
        <f t="shared" si="39"/>
        <v>ES-T1070SJ-GR</v>
      </c>
      <c r="L68" t="str">
        <f t="shared" si="40"/>
        <v>air tidak bisa buang</v>
      </c>
      <c r="M68" t="str">
        <f t="shared" si="41"/>
        <v>202961291 3359355 ROBOT1</v>
      </c>
      <c r="N68" t="str">
        <f t="shared" si="42"/>
        <v>mg / tlp dl /</v>
      </c>
      <c r="Q68" s="5">
        <v>44422.625</v>
      </c>
      <c r="R68" s="5" t="s">
        <v>400</v>
      </c>
      <c r="S68" s="5" t="s">
        <v>401</v>
      </c>
      <c r="T68" s="5">
        <v>87778666371</v>
      </c>
      <c r="U68" s="5" t="s">
        <v>19</v>
      </c>
      <c r="V68" s="5" t="s">
        <v>15</v>
      </c>
      <c r="W68" s="5" t="s">
        <v>32</v>
      </c>
      <c r="X68" s="5" t="s">
        <v>40</v>
      </c>
      <c r="Y68" s="5" t="s">
        <v>41</v>
      </c>
      <c r="Z68" s="5" t="s">
        <v>21</v>
      </c>
      <c r="AA68" s="5" t="s">
        <v>402</v>
      </c>
      <c r="AB68" s="5" t="s">
        <v>403</v>
      </c>
      <c r="AC68" s="5" t="s">
        <v>404</v>
      </c>
      <c r="AD68" s="5" t="s">
        <v>405</v>
      </c>
    </row>
    <row r="69" spans="1:30" x14ac:dyDescent="0.3">
      <c r="A69" t="str">
        <f t="shared" si="29"/>
        <v>2021-08-20 15:08:00</v>
      </c>
      <c r="B69" t="str">
        <f t="shared" si="30"/>
        <v>Karnita /ibu</v>
      </c>
      <c r="C69">
        <f t="shared" si="31"/>
        <v>82391248224</v>
      </c>
      <c r="D69" t="str">
        <f t="shared" si="32"/>
        <v>Sumatera Barat</v>
      </c>
      <c r="E69" t="str">
        <f t="shared" si="33"/>
        <v>Oliv</v>
      </c>
      <c r="F69" t="str">
        <f t="shared" si="34"/>
        <v>b</v>
      </c>
      <c r="G69" t="str">
        <f t="shared" si="35"/>
        <v>b</v>
      </c>
      <c r="H69" t="str">
        <f t="shared" si="36"/>
        <v>3m</v>
      </c>
      <c r="I69" t="str">
        <f t="shared" si="37"/>
        <v>Repair Request (Branch)</v>
      </c>
      <c r="J69" t="str">
        <f t="shared" si="38"/>
        <v>Freezer</v>
      </c>
      <c r="K69" t="str">
        <f t="shared" si="39"/>
        <v>FR-G189-TS</v>
      </c>
      <c r="L69" t="str">
        <f t="shared" si="40"/>
        <v>tidak dingin</v>
      </c>
      <c r="M69" t="str">
        <f t="shared" si="41"/>
        <v>202965858 3364030 ROBOT1</v>
      </c>
      <c r="N69" t="str">
        <f t="shared" si="42"/>
        <v>hg /tlp dl</v>
      </c>
      <c r="Q69" s="5">
        <v>44428.630555555559</v>
      </c>
      <c r="R69" s="5" t="s">
        <v>400</v>
      </c>
      <c r="S69" s="5" t="s">
        <v>406</v>
      </c>
      <c r="T69" s="5">
        <v>82391248224</v>
      </c>
      <c r="U69" s="5" t="s">
        <v>15</v>
      </c>
      <c r="V69" s="5" t="s">
        <v>15</v>
      </c>
      <c r="W69" s="5" t="s">
        <v>90</v>
      </c>
      <c r="X69" s="5" t="s">
        <v>40</v>
      </c>
      <c r="Y69" s="5" t="s">
        <v>41</v>
      </c>
      <c r="Z69" s="5" t="s">
        <v>149</v>
      </c>
      <c r="AA69" s="5" t="s">
        <v>407</v>
      </c>
      <c r="AB69" s="5" t="s">
        <v>24</v>
      </c>
      <c r="AC69" s="5" t="s">
        <v>408</v>
      </c>
      <c r="AD69" s="5" t="s">
        <v>409</v>
      </c>
    </row>
    <row r="70" spans="1:30" x14ac:dyDescent="0.3">
      <c r="A70" t="str">
        <f t="shared" si="29"/>
        <v>2021-08-19 13:47:00</v>
      </c>
      <c r="B70" t="str">
        <f t="shared" si="30"/>
        <v>Wilda ninsih /Ibu</v>
      </c>
      <c r="C70">
        <f t="shared" si="31"/>
        <v>85270677522</v>
      </c>
      <c r="D70" t="str">
        <f t="shared" si="32"/>
        <v>Sumatera Utara</v>
      </c>
      <c r="E70" t="str">
        <f t="shared" si="33"/>
        <v>Oliv</v>
      </c>
      <c r="F70" t="str">
        <f t="shared" si="34"/>
        <v>b</v>
      </c>
      <c r="G70" t="str">
        <f t="shared" si="35"/>
        <v>a</v>
      </c>
      <c r="H70" t="str">
        <f t="shared" si="36"/>
        <v>3m</v>
      </c>
      <c r="I70" t="str">
        <f t="shared" si="37"/>
        <v>Repair Request (Branch)</v>
      </c>
      <c r="J70" t="str">
        <f t="shared" si="38"/>
        <v>Reff 2D Local</v>
      </c>
      <c r="K70" t="str">
        <f t="shared" si="39"/>
        <v>SJ-316MG-GB</v>
      </c>
      <c r="L70" t="str">
        <f t="shared" si="40"/>
        <v>tidak dingin</v>
      </c>
      <c r="M70" t="str">
        <f t="shared" si="41"/>
        <v>202965498 3363734 ROBOT1</v>
      </c>
      <c r="N70" t="str">
        <f t="shared" si="42"/>
        <v>mg /tlp dl /</v>
      </c>
      <c r="Q70" s="5">
        <v>44427.574305555558</v>
      </c>
      <c r="R70" s="5" t="s">
        <v>400</v>
      </c>
      <c r="S70" s="5" t="s">
        <v>410</v>
      </c>
      <c r="T70" s="5">
        <v>85270677522</v>
      </c>
      <c r="U70" s="5" t="s">
        <v>15</v>
      </c>
      <c r="V70" s="5" t="s">
        <v>19</v>
      </c>
      <c r="W70" s="5" t="s">
        <v>52</v>
      </c>
      <c r="X70" s="5" t="s">
        <v>40</v>
      </c>
      <c r="Y70" s="5" t="s">
        <v>41</v>
      </c>
      <c r="Z70" s="5" t="s">
        <v>25</v>
      </c>
      <c r="AA70" s="5" t="s">
        <v>60</v>
      </c>
      <c r="AB70" s="5" t="s">
        <v>24</v>
      </c>
      <c r="AC70" s="5" t="s">
        <v>411</v>
      </c>
      <c r="AD70" s="5" t="s">
        <v>412</v>
      </c>
    </row>
    <row r="71" spans="1:30" x14ac:dyDescent="0.3">
      <c r="A71" t="str">
        <f t="shared" ref="A71:A94" si="43">YEAR(Q71)&amp;"-"&amp;IF(MONTH(Q71)&lt;10,"0"&amp;MONTH(Q71),MONTH(Q71))&amp;"-"&amp;IF(DAY(Q71)&lt;10,"0"&amp;DAY(Q71),DAY(Q71))&amp;" "&amp;IF(HOUR(Q71)&lt;10,"0"&amp;HOUR(Q71),HOUR(Q71))&amp;":"&amp;IF(MINUTE(Q71)&lt;10,"0"&amp;MINUTE(Q71),MINUTE(Q71))&amp;":"&amp;IF(SECOND(Q71)&lt;10,"0"&amp;SECOND(Q71),SECOND(Q71))</f>
        <v>2021-08-01 08:20:00</v>
      </c>
      <c r="B71" t="str">
        <f t="shared" ref="B71:B94" si="44">IF(S71="","",S71)</f>
        <v>IGAS /IBU (SDSS 11B7)</v>
      </c>
      <c r="C71">
        <f t="shared" ref="C71:C94" si="45">IF(T71="","",T71)</f>
        <v>81906051428</v>
      </c>
      <c r="D71" t="str">
        <f t="shared" ref="D71:D94" si="46">IF(W71="","",W71)</f>
        <v>Banten</v>
      </c>
      <c r="E71" t="str">
        <f t="shared" ref="E71:E94" si="47">IF(R71="","",R71)</f>
        <v>Pemi</v>
      </c>
      <c r="F71" t="str">
        <f t="shared" ref="F71:F94" si="48">IF(U71="","",U71)</f>
        <v>b</v>
      </c>
      <c r="G71" t="str">
        <f t="shared" ref="G71:G94" si="49">IF(V71="","",V71)</f>
        <v>a</v>
      </c>
      <c r="H71" t="str">
        <f t="shared" ref="H71:H94" si="50">IF(X71="","",X71)</f>
        <v>3a</v>
      </c>
      <c r="I71" t="str">
        <f t="shared" ref="I71:I94" si="51">IF(Y71="","",Y71)</f>
        <v>Repair/Notification Request</v>
      </c>
      <c r="J71" t="str">
        <f t="shared" ref="J71:J94" si="52">IF(Z71="","",Z71)</f>
        <v>Water Dispenser Bottom Loading</v>
      </c>
      <c r="K71" t="str">
        <f t="shared" ref="K71:K94" si="53">IF(AA71="","",AA71)</f>
        <v>SWD-68EH-BK</v>
      </c>
      <c r="L71" t="str">
        <f t="shared" ref="L71:L94" si="54">IF(AB71="","",AB71)</f>
        <v>Bocor</v>
      </c>
      <c r="M71" t="str">
        <f t="shared" ref="M71:M94" si="55">IF(AC71="","",AC71)</f>
        <v>202950620 719596 ROBOT1</v>
      </c>
      <c r="N71" t="str">
        <f t="shared" ref="N71:N94" si="56">IF(AD71="","",AD71)</f>
        <v>Gs /rusak lagi (info konsumen di tanggal 17.7.2021 sudah dikenakan biaya service Rp.253.000 oleh teknisi</v>
      </c>
      <c r="Q71" s="5">
        <v>44409.347222222219</v>
      </c>
      <c r="R71" s="5" t="s">
        <v>63</v>
      </c>
      <c r="S71" s="5" t="s">
        <v>413</v>
      </c>
      <c r="T71" s="5">
        <v>81906051428</v>
      </c>
      <c r="U71" s="5" t="s">
        <v>15</v>
      </c>
      <c r="V71" s="5" t="s">
        <v>19</v>
      </c>
      <c r="W71" s="5" t="s">
        <v>170</v>
      </c>
      <c r="X71" s="5" t="s">
        <v>16</v>
      </c>
      <c r="Y71" s="5" t="s">
        <v>17</v>
      </c>
      <c r="Z71" s="5" t="s">
        <v>43</v>
      </c>
      <c r="AA71" s="5" t="s">
        <v>241</v>
      </c>
      <c r="AB71" s="5" t="s">
        <v>80</v>
      </c>
      <c r="AC71" s="5" t="s">
        <v>414</v>
      </c>
      <c r="AD71" s="5" t="s">
        <v>415</v>
      </c>
    </row>
    <row r="72" spans="1:30" x14ac:dyDescent="0.3">
      <c r="A72" t="str">
        <f t="shared" si="43"/>
        <v>2021-08-01 08:33:00</v>
      </c>
      <c r="B72" t="str">
        <f t="shared" si="44"/>
        <v>Huni /Ibu</v>
      </c>
      <c r="C72">
        <f t="shared" si="45"/>
        <v>81384864051</v>
      </c>
      <c r="D72" t="str">
        <f t="shared" si="46"/>
        <v>Jawa Barat</v>
      </c>
      <c r="E72" t="str">
        <f t="shared" si="47"/>
        <v>Pemi</v>
      </c>
      <c r="F72" t="str">
        <f t="shared" si="48"/>
        <v>b</v>
      </c>
      <c r="G72" t="str">
        <f t="shared" si="49"/>
        <v>b</v>
      </c>
      <c r="H72" t="str">
        <f t="shared" si="50"/>
        <v>3a</v>
      </c>
      <c r="I72" t="str">
        <f t="shared" si="51"/>
        <v>Repair/Notification Request</v>
      </c>
      <c r="J72" t="str">
        <f t="shared" si="52"/>
        <v>Reff 2D Local</v>
      </c>
      <c r="K72" t="str">
        <f t="shared" si="53"/>
        <v>SJ-316MG-GB</v>
      </c>
      <c r="L72" t="str">
        <f t="shared" si="54"/>
        <v>Tidak dingin</v>
      </c>
      <c r="M72" t="str">
        <f t="shared" si="55"/>
        <v>202950621 3227193 ROBOT1</v>
      </c>
      <c r="N72" t="str">
        <f t="shared" si="56"/>
        <v>Mg /NONZ2/ Pemb 20.11.2020</v>
      </c>
      <c r="Q72" s="5">
        <v>44409.356249999997</v>
      </c>
      <c r="R72" s="5" t="s">
        <v>63</v>
      </c>
      <c r="S72" s="5" t="s">
        <v>416</v>
      </c>
      <c r="T72" s="5">
        <v>81384864051</v>
      </c>
      <c r="U72" s="5" t="s">
        <v>15</v>
      </c>
      <c r="V72" s="5" t="s">
        <v>15</v>
      </c>
      <c r="W72" s="5" t="s">
        <v>32</v>
      </c>
      <c r="X72" s="5" t="s">
        <v>16</v>
      </c>
      <c r="Y72" s="5" t="s">
        <v>17</v>
      </c>
      <c r="Z72" s="5" t="s">
        <v>25</v>
      </c>
      <c r="AA72" s="5" t="s">
        <v>60</v>
      </c>
      <c r="AB72" s="5" t="s">
        <v>26</v>
      </c>
      <c r="AC72" s="5" t="s">
        <v>417</v>
      </c>
      <c r="AD72" s="5" t="s">
        <v>418</v>
      </c>
    </row>
    <row r="73" spans="1:30" x14ac:dyDescent="0.3">
      <c r="A73" t="str">
        <f t="shared" si="43"/>
        <v>2021-08-01 10:37:00</v>
      </c>
      <c r="B73" t="str">
        <f t="shared" si="44"/>
        <v>Evi /Ibu</v>
      </c>
      <c r="C73">
        <f t="shared" si="45"/>
        <v>87888270108</v>
      </c>
      <c r="D73" t="str">
        <f t="shared" si="46"/>
        <v>Jakarta</v>
      </c>
      <c r="E73" t="str">
        <f t="shared" si="47"/>
        <v>Pemi</v>
      </c>
      <c r="F73" t="str">
        <f t="shared" si="48"/>
        <v>a</v>
      </c>
      <c r="G73" t="str">
        <f t="shared" si="49"/>
        <v>a</v>
      </c>
      <c r="H73" t="str">
        <f t="shared" si="50"/>
        <v>3a</v>
      </c>
      <c r="I73" t="str">
        <f t="shared" si="51"/>
        <v>Repair/Notification Request</v>
      </c>
      <c r="J73" t="str">
        <f t="shared" si="52"/>
        <v>Reff 2D Local</v>
      </c>
      <c r="K73" t="str">
        <f t="shared" si="53"/>
        <v>SJ-315MD-FW</v>
      </c>
      <c r="L73" t="str">
        <f t="shared" si="54"/>
        <v>Tidak dingin</v>
      </c>
      <c r="M73" t="str">
        <f t="shared" si="55"/>
        <v>202950656 2041399 ROBOT1</v>
      </c>
      <c r="N73" t="str">
        <f t="shared" si="56"/>
        <v>Hg</v>
      </c>
      <c r="Q73" s="5">
        <v>44409.442361111112</v>
      </c>
      <c r="R73" s="5" t="s">
        <v>63</v>
      </c>
      <c r="S73" s="5" t="s">
        <v>419</v>
      </c>
      <c r="T73" s="5">
        <v>87888270108</v>
      </c>
      <c r="U73" s="5" t="s">
        <v>19</v>
      </c>
      <c r="V73" s="5" t="s">
        <v>19</v>
      </c>
      <c r="W73" s="5" t="s">
        <v>33</v>
      </c>
      <c r="X73" s="5" t="s">
        <v>16</v>
      </c>
      <c r="Y73" s="5" t="s">
        <v>17</v>
      </c>
      <c r="Z73" s="5" t="s">
        <v>25</v>
      </c>
      <c r="AA73" s="5" t="s">
        <v>420</v>
      </c>
      <c r="AB73" s="5" t="s">
        <v>26</v>
      </c>
      <c r="AC73" s="5" t="s">
        <v>421</v>
      </c>
      <c r="AD73" s="5" t="s">
        <v>64</v>
      </c>
    </row>
    <row r="74" spans="1:30" x14ac:dyDescent="0.3">
      <c r="A74" t="str">
        <f t="shared" si="43"/>
        <v>2021-08-16 12:15:00</v>
      </c>
      <c r="B74" t="str">
        <f t="shared" si="44"/>
        <v>Vivi/Ibu</v>
      </c>
      <c r="C74">
        <f t="shared" si="45"/>
        <v>85363996654</v>
      </c>
      <c r="D74" t="str">
        <f t="shared" si="46"/>
        <v>Sumatera Barat</v>
      </c>
      <c r="E74" t="str">
        <f t="shared" si="47"/>
        <v>Pras</v>
      </c>
      <c r="F74" t="str">
        <f t="shared" si="48"/>
        <v>a</v>
      </c>
      <c r="G74" t="str">
        <f t="shared" si="49"/>
        <v>b</v>
      </c>
      <c r="H74" t="str">
        <f t="shared" si="50"/>
        <v>3m</v>
      </c>
      <c r="I74" t="str">
        <f t="shared" si="51"/>
        <v>Repair Request (Branch)</v>
      </c>
      <c r="J74" t="str">
        <f t="shared" si="52"/>
        <v>LED 32"</v>
      </c>
      <c r="K74" t="str">
        <f t="shared" si="53"/>
        <v>2T-C32BG1I</v>
      </c>
      <c r="L74" t="str">
        <f t="shared" si="54"/>
        <v>Tidak bisa menangkap sinyal remote</v>
      </c>
      <c r="M74" t="str">
        <f t="shared" si="55"/>
        <v>202961989 3360034 ROBOT1</v>
      </c>
      <c r="N74" t="str">
        <f t="shared" si="56"/>
        <v>MG / URGENT /tlp atau WA dulu 085363996654</v>
      </c>
      <c r="Q74" s="5">
        <v>44424.510416666664</v>
      </c>
      <c r="R74" s="5" t="s">
        <v>120</v>
      </c>
      <c r="S74" s="5" t="s">
        <v>422</v>
      </c>
      <c r="T74" s="5">
        <v>85363996654</v>
      </c>
      <c r="U74" s="5" t="s">
        <v>19</v>
      </c>
      <c r="V74" s="5" t="s">
        <v>15</v>
      </c>
      <c r="W74" s="5" t="s">
        <v>90</v>
      </c>
      <c r="X74" s="5" t="s">
        <v>40</v>
      </c>
      <c r="Y74" s="5" t="s">
        <v>41</v>
      </c>
      <c r="Z74" s="5" t="s">
        <v>30</v>
      </c>
      <c r="AA74" s="5" t="s">
        <v>110</v>
      </c>
      <c r="AB74" s="5" t="s">
        <v>423</v>
      </c>
      <c r="AC74" s="5" t="s">
        <v>424</v>
      </c>
      <c r="AD74" s="5" t="s">
        <v>425</v>
      </c>
    </row>
    <row r="75" spans="1:30" x14ac:dyDescent="0.3">
      <c r="A75" t="str">
        <f t="shared" si="43"/>
        <v>2021-08-26 16:08:00</v>
      </c>
      <c r="B75" t="str">
        <f t="shared" si="44"/>
        <v>Karnita /ibu</v>
      </c>
      <c r="C75">
        <f t="shared" si="45"/>
        <v>82391248224</v>
      </c>
      <c r="D75" t="str">
        <f t="shared" si="46"/>
        <v>Sumatera Barat</v>
      </c>
      <c r="E75" t="str">
        <f t="shared" si="47"/>
        <v>Pras</v>
      </c>
      <c r="F75" t="str">
        <f t="shared" si="48"/>
        <v>b</v>
      </c>
      <c r="G75" t="str">
        <f t="shared" si="49"/>
        <v>b</v>
      </c>
      <c r="H75" t="str">
        <f t="shared" si="50"/>
        <v>3m</v>
      </c>
      <c r="I75" t="str">
        <f t="shared" si="51"/>
        <v>Repair Request (Branch)</v>
      </c>
      <c r="J75" t="str">
        <f t="shared" si="52"/>
        <v>Freezer</v>
      </c>
      <c r="K75" t="str">
        <f t="shared" si="53"/>
        <v>FR-G189-TS</v>
      </c>
      <c r="L75" t="str">
        <f t="shared" si="54"/>
        <v>Tidak dingin / URGENT</v>
      </c>
      <c r="M75" t="str">
        <f t="shared" si="55"/>
        <v>202970811 3364030 ROBOT1</v>
      </c>
      <c r="N75" t="str">
        <f t="shared" si="56"/>
        <v>HG / URGENT Minta cepat /Perbaikan ada 2 unit dengan LR 202966089 kulkas / Tlp atau WA dulu 082391248224</v>
      </c>
      <c r="Q75" s="5">
        <v>44434.672222222223</v>
      </c>
      <c r="R75" s="5" t="s">
        <v>120</v>
      </c>
      <c r="S75" s="5" t="s">
        <v>406</v>
      </c>
      <c r="T75" s="5">
        <v>82391248224</v>
      </c>
      <c r="U75" s="5" t="s">
        <v>15</v>
      </c>
      <c r="V75" s="5" t="s">
        <v>15</v>
      </c>
      <c r="W75" s="5" t="s">
        <v>90</v>
      </c>
      <c r="X75" s="5" t="s">
        <v>40</v>
      </c>
      <c r="Y75" s="5" t="s">
        <v>41</v>
      </c>
      <c r="Z75" s="5" t="s">
        <v>149</v>
      </c>
      <c r="AA75" s="5" t="s">
        <v>407</v>
      </c>
      <c r="AB75" s="5" t="s">
        <v>426</v>
      </c>
      <c r="AC75" s="5" t="s">
        <v>427</v>
      </c>
      <c r="AD75" s="5" t="s">
        <v>428</v>
      </c>
    </row>
    <row r="76" spans="1:30" x14ac:dyDescent="0.3">
      <c r="A76" t="str">
        <f t="shared" si="43"/>
        <v>2021-08-26 13:59:00</v>
      </c>
      <c r="B76" t="str">
        <f t="shared" si="44"/>
        <v>Ayu/Ibu</v>
      </c>
      <c r="C76">
        <f t="shared" si="45"/>
        <v>87770446282</v>
      </c>
      <c r="D76" t="str">
        <f t="shared" si="46"/>
        <v>Jawa Barat</v>
      </c>
      <c r="E76" t="str">
        <f t="shared" si="47"/>
        <v>Pras</v>
      </c>
      <c r="F76" t="str">
        <f t="shared" si="48"/>
        <v>b</v>
      </c>
      <c r="G76" t="str">
        <f t="shared" si="49"/>
        <v>b</v>
      </c>
      <c r="H76" t="str">
        <f t="shared" si="50"/>
        <v>3m</v>
      </c>
      <c r="I76" t="str">
        <f t="shared" si="51"/>
        <v>Repair Request (Branch)</v>
      </c>
      <c r="J76" t="str">
        <f t="shared" si="52"/>
        <v>LED 37"~42"</v>
      </c>
      <c r="K76" t="str">
        <f t="shared" si="53"/>
        <v>LC-40SA5100I</v>
      </c>
      <c r="L76" t="str">
        <f t="shared" si="54"/>
        <v>tidak bisa dimatikan dan simpan channel</v>
      </c>
      <c r="M76" t="str">
        <f t="shared" si="55"/>
        <v>202970650 3368912 ROBOT1</v>
      </c>
      <c r="N76" t="str">
        <f t="shared" si="56"/>
        <v>MG / URGENT /tlp atau WA dulu 085722101797</v>
      </c>
      <c r="Q76" s="5">
        <v>44434.582638888889</v>
      </c>
      <c r="R76" s="5" t="s">
        <v>120</v>
      </c>
      <c r="S76" s="5" t="s">
        <v>429</v>
      </c>
      <c r="T76" s="5">
        <v>87770446282</v>
      </c>
      <c r="U76" s="5" t="s">
        <v>15</v>
      </c>
      <c r="V76" s="5" t="s">
        <v>15</v>
      </c>
      <c r="W76" s="5" t="s">
        <v>32</v>
      </c>
      <c r="X76" s="5" t="s">
        <v>40</v>
      </c>
      <c r="Y76" s="5" t="s">
        <v>41</v>
      </c>
      <c r="Z76" s="5" t="s">
        <v>84</v>
      </c>
      <c r="AA76" s="5" t="s">
        <v>430</v>
      </c>
      <c r="AB76" s="5" t="s">
        <v>431</v>
      </c>
      <c r="AC76" s="5" t="s">
        <v>432</v>
      </c>
      <c r="AD76" s="5" t="s">
        <v>433</v>
      </c>
    </row>
    <row r="77" spans="1:30" x14ac:dyDescent="0.3">
      <c r="A77" t="str">
        <f t="shared" si="43"/>
        <v>2021-08-18 13:02:00</v>
      </c>
      <c r="B77" t="str">
        <f t="shared" si="44"/>
        <v>Ratna /Ibu</v>
      </c>
      <c r="C77">
        <f t="shared" si="45"/>
        <v>224232617</v>
      </c>
      <c r="D77" t="str">
        <f t="shared" si="46"/>
        <v>Jawa Barat</v>
      </c>
      <c r="E77" t="str">
        <f t="shared" si="47"/>
        <v>Puji</v>
      </c>
      <c r="F77" t="str">
        <f t="shared" si="48"/>
        <v>b</v>
      </c>
      <c r="G77" t="str">
        <f t="shared" si="49"/>
        <v>b</v>
      </c>
      <c r="H77" t="str">
        <f t="shared" si="50"/>
        <v>3m</v>
      </c>
      <c r="I77" t="str">
        <f t="shared" si="51"/>
        <v>Repair Request (Branch)</v>
      </c>
      <c r="J77" t="str">
        <f t="shared" si="52"/>
        <v>Water Dispenser Bottom Loading</v>
      </c>
      <c r="K77" t="str">
        <f t="shared" si="53"/>
        <v>SWD-72EHL-BK</v>
      </c>
      <c r="L77" t="str">
        <f t="shared" si="54"/>
        <v>BOCOR</v>
      </c>
      <c r="M77" t="str">
        <f t="shared" si="55"/>
        <v>202963857 3361979 ROBOT1</v>
      </c>
      <c r="N77" t="str">
        <f t="shared" si="56"/>
        <v>HG /TLP DL</v>
      </c>
      <c r="Q77" s="5">
        <v>44426.543055555558</v>
      </c>
      <c r="R77" s="5" t="s">
        <v>434</v>
      </c>
      <c r="S77" s="5" t="s">
        <v>435</v>
      </c>
      <c r="T77" s="5">
        <v>224232617</v>
      </c>
      <c r="U77" s="5" t="s">
        <v>15</v>
      </c>
      <c r="V77" s="5" t="s">
        <v>15</v>
      </c>
      <c r="W77" s="5" t="s">
        <v>32</v>
      </c>
      <c r="X77" s="5" t="s">
        <v>40</v>
      </c>
      <c r="Y77" s="5" t="s">
        <v>41</v>
      </c>
      <c r="Z77" s="5" t="s">
        <v>43</v>
      </c>
      <c r="AA77" s="5" t="s">
        <v>108</v>
      </c>
      <c r="AB77" s="5" t="s">
        <v>436</v>
      </c>
      <c r="AC77" s="5" t="s">
        <v>437</v>
      </c>
      <c r="AD77" s="5" t="s">
        <v>438</v>
      </c>
    </row>
    <row r="78" spans="1:30" x14ac:dyDescent="0.3">
      <c r="A78" t="str">
        <f t="shared" si="43"/>
        <v>2021-08-18 10:42:00</v>
      </c>
      <c r="B78" t="str">
        <f t="shared" si="44"/>
        <v>Yunda /Ibu</v>
      </c>
      <c r="C78">
        <f t="shared" si="45"/>
        <v>82126548901</v>
      </c>
      <c r="D78" t="str">
        <f t="shared" si="46"/>
        <v>Jawa Barat</v>
      </c>
      <c r="E78" t="str">
        <f t="shared" si="47"/>
        <v>Puji</v>
      </c>
      <c r="F78" t="str">
        <f t="shared" si="48"/>
        <v>a</v>
      </c>
      <c r="G78" t="str">
        <f t="shared" si="49"/>
        <v>b</v>
      </c>
      <c r="H78" t="str">
        <f t="shared" si="50"/>
        <v>3m</v>
      </c>
      <c r="I78" t="str">
        <f t="shared" si="51"/>
        <v>Repair Request (Branch)</v>
      </c>
      <c r="J78" t="str">
        <f t="shared" si="52"/>
        <v>Water Dispenser Bottom Loading</v>
      </c>
      <c r="K78" t="str">
        <f t="shared" si="53"/>
        <v>SWD-68EH-BK</v>
      </c>
      <c r="L78" t="str">
        <f t="shared" si="54"/>
        <v>TIDAK DINGIN</v>
      </c>
      <c r="M78" t="str">
        <f t="shared" si="55"/>
        <v>202963755 3361919 ROBOT1</v>
      </c>
      <c r="N78" t="str">
        <f t="shared" si="56"/>
        <v>HG /TLP DL</v>
      </c>
      <c r="Q78" s="5">
        <v>44426.445833333331</v>
      </c>
      <c r="R78" s="5" t="s">
        <v>434</v>
      </c>
      <c r="S78" s="5" t="s">
        <v>439</v>
      </c>
      <c r="T78" s="5">
        <v>82126548901</v>
      </c>
      <c r="U78" s="5" t="s">
        <v>19</v>
      </c>
      <c r="V78" s="5" t="s">
        <v>15</v>
      </c>
      <c r="W78" s="5" t="s">
        <v>32</v>
      </c>
      <c r="X78" s="5" t="s">
        <v>40</v>
      </c>
      <c r="Y78" s="5" t="s">
        <v>41</v>
      </c>
      <c r="Z78" s="5" t="s">
        <v>43</v>
      </c>
      <c r="AA78" s="5" t="s">
        <v>241</v>
      </c>
      <c r="AB78" s="5" t="s">
        <v>440</v>
      </c>
      <c r="AC78" s="5" t="s">
        <v>441</v>
      </c>
      <c r="AD78" s="5" t="s">
        <v>438</v>
      </c>
    </row>
    <row r="79" spans="1:30" x14ac:dyDescent="0.3">
      <c r="A79" t="str">
        <f t="shared" si="43"/>
        <v>2021-08-25 16:28:00</v>
      </c>
      <c r="B79" t="str">
        <f t="shared" si="44"/>
        <v>hanifa /Ibu</v>
      </c>
      <c r="C79">
        <f t="shared" si="45"/>
        <v>81388443611</v>
      </c>
      <c r="D79" t="str">
        <f t="shared" si="46"/>
        <v>Jawa Tengah</v>
      </c>
      <c r="E79" t="str">
        <f t="shared" si="47"/>
        <v>Puji</v>
      </c>
      <c r="F79" t="str">
        <f t="shared" si="48"/>
        <v>a</v>
      </c>
      <c r="G79" t="str">
        <f t="shared" si="49"/>
        <v>b</v>
      </c>
      <c r="H79" t="str">
        <f t="shared" si="50"/>
        <v>3q</v>
      </c>
      <c r="I79" t="str">
        <f t="shared" si="51"/>
        <v>Repair Request (SDSS / SSR)</v>
      </c>
      <c r="J79" t="str">
        <f t="shared" si="52"/>
        <v>Washing M.Auto Local</v>
      </c>
      <c r="K79" t="str">
        <f t="shared" si="53"/>
        <v>ES-G876P-GY</v>
      </c>
      <c r="L79" t="str">
        <f t="shared" si="54"/>
        <v>NO DRAIN SPIN</v>
      </c>
      <c r="M79" t="str">
        <f t="shared" si="55"/>
        <v>- 14A7Z22100957;D2133699 - CTI2CSMS</v>
      </c>
      <c r="N79" t="str">
        <f t="shared" si="56"/>
        <v>MG /TLP DL</v>
      </c>
      <c r="Q79" s="5">
        <v>44433.686111111114</v>
      </c>
      <c r="R79" s="5" t="s">
        <v>434</v>
      </c>
      <c r="S79" s="5" t="s">
        <v>442</v>
      </c>
      <c r="T79" s="5">
        <v>81388443611</v>
      </c>
      <c r="U79" s="5" t="s">
        <v>19</v>
      </c>
      <c r="V79" s="5" t="s">
        <v>15</v>
      </c>
      <c r="W79" s="5" t="s">
        <v>56</v>
      </c>
      <c r="X79" s="5" t="s">
        <v>47</v>
      </c>
      <c r="Y79" s="5" t="s">
        <v>48</v>
      </c>
      <c r="Z79" s="5" t="s">
        <v>113</v>
      </c>
      <c r="AA79" s="5" t="s">
        <v>443</v>
      </c>
      <c r="AB79" s="5" t="s">
        <v>444</v>
      </c>
      <c r="AC79" s="5" t="s">
        <v>445</v>
      </c>
      <c r="AD79" s="5" t="s">
        <v>446</v>
      </c>
    </row>
    <row r="80" spans="1:30" x14ac:dyDescent="0.3">
      <c r="A80" t="str">
        <f t="shared" si="43"/>
        <v>2021-08-05 11:14:00</v>
      </c>
      <c r="B80" t="str">
        <f t="shared" si="44"/>
        <v>Niko /Bp</v>
      </c>
      <c r="C80">
        <f t="shared" si="45"/>
        <v>81282163956</v>
      </c>
      <c r="D80" t="str">
        <f t="shared" si="46"/>
        <v/>
      </c>
      <c r="E80" t="str">
        <f t="shared" si="47"/>
        <v>Rahma</v>
      </c>
      <c r="F80" t="str">
        <f t="shared" si="48"/>
        <v>a</v>
      </c>
      <c r="G80" t="str">
        <f t="shared" si="49"/>
        <v>b</v>
      </c>
      <c r="H80" t="str">
        <f t="shared" si="50"/>
        <v>2a</v>
      </c>
      <c r="I80" t="str">
        <f t="shared" si="51"/>
        <v>Usage Explanation</v>
      </c>
      <c r="J80" t="str">
        <f t="shared" si="52"/>
        <v>Water Dispenser Bottom Loading</v>
      </c>
      <c r="K80" t="str">
        <f t="shared" si="53"/>
        <v>SWD-72EHL-BK</v>
      </c>
      <c r="L80" t="str">
        <f t="shared" si="54"/>
        <v>air tidak naik/baru beli 2 bulan</v>
      </c>
      <c r="M80" t="str">
        <f t="shared" si="55"/>
        <v>saran cek pemasangan pompa apakah sudah sampai dasar apa belum</v>
      </c>
      <c r="N80" t="str">
        <f t="shared" si="56"/>
        <v>nonz2</v>
      </c>
      <c r="Q80" s="5">
        <v>44413.468055555553</v>
      </c>
      <c r="R80" s="5" t="s">
        <v>121</v>
      </c>
      <c r="S80" s="5" t="s">
        <v>447</v>
      </c>
      <c r="T80" s="5">
        <v>81282163956</v>
      </c>
      <c r="U80" s="5" t="s">
        <v>19</v>
      </c>
      <c r="V80" s="5" t="s">
        <v>15</v>
      </c>
      <c r="X80" s="5" t="s">
        <v>22</v>
      </c>
      <c r="Y80" s="5" t="s">
        <v>23</v>
      </c>
      <c r="Z80" s="5" t="s">
        <v>43</v>
      </c>
      <c r="AA80" s="5" t="s">
        <v>108</v>
      </c>
      <c r="AB80" s="5" t="s">
        <v>448</v>
      </c>
      <c r="AC80" s="5" t="s">
        <v>449</v>
      </c>
      <c r="AD80" s="5" t="s">
        <v>112</v>
      </c>
    </row>
    <row r="81" spans="1:31" x14ac:dyDescent="0.3">
      <c r="A81" t="str">
        <f t="shared" si="43"/>
        <v>2021-08-12 16:59:00</v>
      </c>
      <c r="B81" t="str">
        <f t="shared" si="44"/>
        <v>Faqih /Bp</v>
      </c>
      <c r="C81">
        <f t="shared" si="45"/>
        <v>85810111136</v>
      </c>
      <c r="D81" t="str">
        <f t="shared" si="46"/>
        <v/>
      </c>
      <c r="E81" t="str">
        <f t="shared" si="47"/>
        <v>Rahma</v>
      </c>
      <c r="F81" t="str">
        <f t="shared" si="48"/>
        <v>b</v>
      </c>
      <c r="G81" t="str">
        <f t="shared" si="49"/>
        <v>a</v>
      </c>
      <c r="H81" t="str">
        <f t="shared" si="50"/>
        <v>2a</v>
      </c>
      <c r="I81" t="str">
        <f t="shared" si="51"/>
        <v>Usage Explanation</v>
      </c>
      <c r="J81" t="str">
        <f t="shared" si="52"/>
        <v>Reff 2D Local</v>
      </c>
      <c r="K81" t="str">
        <f t="shared" si="53"/>
        <v>SJ-236MN-HS</v>
      </c>
      <c r="L81" t="str">
        <f t="shared" si="54"/>
        <v>tidak dingin</v>
      </c>
      <c r="M81" t="str">
        <f t="shared" si="55"/>
        <v>saran restart kulkas</v>
      </c>
      <c r="N81" t="str">
        <f t="shared" si="56"/>
        <v>nonz2</v>
      </c>
      <c r="Q81" s="5">
        <v>44420.707638888889</v>
      </c>
      <c r="R81" s="5" t="s">
        <v>121</v>
      </c>
      <c r="S81" s="5" t="s">
        <v>450</v>
      </c>
      <c r="T81" s="5">
        <v>85810111136</v>
      </c>
      <c r="U81" s="5" t="s">
        <v>15</v>
      </c>
      <c r="V81" s="5" t="s">
        <v>19</v>
      </c>
      <c r="X81" s="5" t="s">
        <v>22</v>
      </c>
      <c r="Y81" s="5" t="s">
        <v>23</v>
      </c>
      <c r="Z81" s="5" t="s">
        <v>25</v>
      </c>
      <c r="AA81" s="5" t="s">
        <v>451</v>
      </c>
      <c r="AB81" s="5" t="s">
        <v>24</v>
      </c>
      <c r="AC81" s="5" t="s">
        <v>452</v>
      </c>
      <c r="AD81" s="5" t="s">
        <v>112</v>
      </c>
    </row>
    <row r="82" spans="1:31" x14ac:dyDescent="0.3">
      <c r="A82" t="str">
        <f t="shared" si="43"/>
        <v>2021-08-12 11:12:00</v>
      </c>
      <c r="B82" t="str">
        <f t="shared" si="44"/>
        <v>Akbar /Bp</v>
      </c>
      <c r="C82">
        <f t="shared" si="45"/>
        <v>81213367171</v>
      </c>
      <c r="D82" t="str">
        <f t="shared" si="46"/>
        <v/>
      </c>
      <c r="E82" t="str">
        <f t="shared" si="47"/>
        <v>Rahma</v>
      </c>
      <c r="F82" t="str">
        <f t="shared" si="48"/>
        <v>b</v>
      </c>
      <c r="G82" t="str">
        <f t="shared" si="49"/>
        <v>b</v>
      </c>
      <c r="H82" t="str">
        <f t="shared" si="50"/>
        <v>2a</v>
      </c>
      <c r="I82" t="str">
        <f t="shared" si="51"/>
        <v>Usage Explanation</v>
      </c>
      <c r="J82" t="str">
        <f t="shared" si="52"/>
        <v>Reff 2D Local</v>
      </c>
      <c r="K82" t="str">
        <f t="shared" si="53"/>
        <v>SJ-195MD-US</v>
      </c>
      <c r="L82" t="str">
        <f t="shared" si="54"/>
        <v>tidak dingin</v>
      </c>
      <c r="M82" t="str">
        <f t="shared" si="55"/>
        <v>saran restart kulkas</v>
      </c>
      <c r="N82" t="str">
        <f t="shared" si="56"/>
        <v>nonz2</v>
      </c>
      <c r="Q82" s="5">
        <v>44420.466666666667</v>
      </c>
      <c r="R82" s="5" t="s">
        <v>121</v>
      </c>
      <c r="S82" s="5" t="s">
        <v>453</v>
      </c>
      <c r="T82" s="5">
        <v>81213367171</v>
      </c>
      <c r="U82" s="5" t="s">
        <v>15</v>
      </c>
      <c r="V82" s="5" t="s">
        <v>15</v>
      </c>
      <c r="X82" s="5" t="s">
        <v>22</v>
      </c>
      <c r="Y82" s="5" t="s">
        <v>23</v>
      </c>
      <c r="Z82" s="5" t="s">
        <v>25</v>
      </c>
      <c r="AA82" s="5" t="s">
        <v>246</v>
      </c>
      <c r="AB82" s="5" t="s">
        <v>24</v>
      </c>
      <c r="AC82" s="5" t="s">
        <v>452</v>
      </c>
      <c r="AD82" s="5" t="s">
        <v>112</v>
      </c>
    </row>
    <row r="83" spans="1:31" x14ac:dyDescent="0.3">
      <c r="A83" t="str">
        <f t="shared" si="43"/>
        <v>2021-08-05 13:07:00</v>
      </c>
      <c r="B83" t="str">
        <f t="shared" si="44"/>
        <v>Yuni /Ibu</v>
      </c>
      <c r="C83">
        <f t="shared" si="45"/>
        <v>81315409202</v>
      </c>
      <c r="D83" t="str">
        <f t="shared" si="46"/>
        <v/>
      </c>
      <c r="E83" t="str">
        <f t="shared" si="47"/>
        <v>Ratih</v>
      </c>
      <c r="F83" t="str">
        <f t="shared" si="48"/>
        <v>b</v>
      </c>
      <c r="G83" t="str">
        <f t="shared" si="49"/>
        <v>b</v>
      </c>
      <c r="H83" t="str">
        <f t="shared" si="50"/>
        <v>2a</v>
      </c>
      <c r="I83" t="str">
        <f t="shared" si="51"/>
        <v>Usage Explanation</v>
      </c>
      <c r="J83" t="str">
        <f t="shared" si="52"/>
        <v>Reff 2D Local</v>
      </c>
      <c r="K83" t="str">
        <f t="shared" si="53"/>
        <v>SJ-235MD-FB</v>
      </c>
      <c r="L83" t="str">
        <f t="shared" si="54"/>
        <v>tidak dingin</v>
      </c>
      <c r="M83" t="str">
        <f t="shared" si="55"/>
        <v>saran restart</v>
      </c>
      <c r="N83" t="str">
        <f t="shared" si="56"/>
        <v/>
      </c>
      <c r="Q83" s="5">
        <v>44413.546527777777</v>
      </c>
      <c r="R83" s="5" t="s">
        <v>122</v>
      </c>
      <c r="S83" s="5" t="s">
        <v>454</v>
      </c>
      <c r="T83" s="5">
        <v>81315409202</v>
      </c>
      <c r="U83" s="5" t="s">
        <v>15</v>
      </c>
      <c r="V83" s="5" t="s">
        <v>15</v>
      </c>
      <c r="X83" s="5" t="s">
        <v>22</v>
      </c>
      <c r="Y83" s="5" t="s">
        <v>23</v>
      </c>
      <c r="Z83" s="5" t="s">
        <v>25</v>
      </c>
      <c r="AA83" s="5" t="s">
        <v>455</v>
      </c>
      <c r="AB83" s="5" t="s">
        <v>24</v>
      </c>
      <c r="AC83" s="5" t="s">
        <v>456</v>
      </c>
    </row>
    <row r="84" spans="1:31" x14ac:dyDescent="0.3">
      <c r="A84" t="str">
        <f t="shared" si="43"/>
        <v>2021-08-12 11:54:00</v>
      </c>
      <c r="B84" t="str">
        <f t="shared" si="44"/>
        <v>Wiji /ibu</v>
      </c>
      <c r="C84">
        <f t="shared" si="45"/>
        <v>81295828700</v>
      </c>
      <c r="D84" t="str">
        <f t="shared" si="46"/>
        <v/>
      </c>
      <c r="E84" t="str">
        <f t="shared" si="47"/>
        <v>Ratih</v>
      </c>
      <c r="F84" t="str">
        <f t="shared" si="48"/>
        <v>b</v>
      </c>
      <c r="G84" t="str">
        <f t="shared" si="49"/>
        <v>b</v>
      </c>
      <c r="H84" t="str">
        <f t="shared" si="50"/>
        <v>2a</v>
      </c>
      <c r="I84" t="str">
        <f t="shared" si="51"/>
        <v>Usage Explanation</v>
      </c>
      <c r="J84" t="str">
        <f t="shared" si="52"/>
        <v>Reff 2D Local</v>
      </c>
      <c r="K84" t="str">
        <f t="shared" si="53"/>
        <v>SJ-246XG-MR</v>
      </c>
      <c r="L84" t="str">
        <f t="shared" si="54"/>
        <v>tidak dingin</v>
      </c>
      <c r="M84" t="str">
        <f t="shared" si="55"/>
        <v>saran restart dan setting suhu freezer ke minimal</v>
      </c>
      <c r="N84" t="str">
        <f t="shared" si="56"/>
        <v>nonz2</v>
      </c>
      <c r="Q84" s="5">
        <v>44420.495833333334</v>
      </c>
      <c r="R84" s="5" t="s">
        <v>122</v>
      </c>
      <c r="S84" s="5" t="s">
        <v>457</v>
      </c>
      <c r="T84" s="5">
        <v>81295828700</v>
      </c>
      <c r="U84" s="5" t="s">
        <v>15</v>
      </c>
      <c r="V84" s="5" t="s">
        <v>15</v>
      </c>
      <c r="X84" s="5" t="s">
        <v>22</v>
      </c>
      <c r="Y84" s="5" t="s">
        <v>23</v>
      </c>
      <c r="Z84" s="5" t="s">
        <v>25</v>
      </c>
      <c r="AA84" s="5" t="s">
        <v>458</v>
      </c>
      <c r="AB84" s="5" t="s">
        <v>24</v>
      </c>
      <c r="AC84" s="5" t="s">
        <v>459</v>
      </c>
      <c r="AD84" s="5" t="s">
        <v>112</v>
      </c>
    </row>
    <row r="85" spans="1:31" x14ac:dyDescent="0.3">
      <c r="A85" t="str">
        <f t="shared" si="43"/>
        <v>2021-08-09 12:11:00</v>
      </c>
      <c r="B85" t="str">
        <f t="shared" si="44"/>
        <v>Rifal /bp</v>
      </c>
      <c r="C85">
        <f t="shared" si="45"/>
        <v>89653208444</v>
      </c>
      <c r="D85" t="str">
        <f t="shared" si="46"/>
        <v>None</v>
      </c>
      <c r="E85" t="str">
        <f t="shared" si="47"/>
        <v>Ratih</v>
      </c>
      <c r="F85" t="str">
        <f t="shared" si="48"/>
        <v>a</v>
      </c>
      <c r="G85" t="str">
        <f t="shared" si="49"/>
        <v>a</v>
      </c>
      <c r="H85" t="str">
        <f t="shared" si="50"/>
        <v>2a</v>
      </c>
      <c r="I85" t="str">
        <f t="shared" si="51"/>
        <v>Usage Explanation</v>
      </c>
      <c r="J85" t="str">
        <f t="shared" si="52"/>
        <v>Reff 2D Local</v>
      </c>
      <c r="K85" t="str">
        <f t="shared" si="53"/>
        <v>SJ-237MG-DB</v>
      </c>
      <c r="L85" t="str">
        <f t="shared" si="54"/>
        <v>tidak dingin-bunyi</v>
      </c>
      <c r="M85" t="str">
        <f t="shared" si="55"/>
        <v>saran restart</v>
      </c>
      <c r="N85" t="str">
        <f t="shared" si="56"/>
        <v>nonz2</v>
      </c>
      <c r="Q85" s="5">
        <v>44417.507638888892</v>
      </c>
      <c r="R85" s="5" t="s">
        <v>122</v>
      </c>
      <c r="S85" s="5" t="s">
        <v>460</v>
      </c>
      <c r="T85" s="5">
        <v>89653208444</v>
      </c>
      <c r="U85" s="5" t="s">
        <v>19</v>
      </c>
      <c r="V85" s="5" t="s">
        <v>19</v>
      </c>
      <c r="W85" s="5" t="s">
        <v>116</v>
      </c>
      <c r="X85" s="5" t="s">
        <v>22</v>
      </c>
      <c r="Y85" s="5" t="s">
        <v>23</v>
      </c>
      <c r="Z85" s="5" t="s">
        <v>25</v>
      </c>
      <c r="AA85" s="5" t="s">
        <v>461</v>
      </c>
      <c r="AB85" s="5" t="s">
        <v>462</v>
      </c>
      <c r="AC85" s="5" t="s">
        <v>456</v>
      </c>
      <c r="AD85" s="5" t="s">
        <v>112</v>
      </c>
    </row>
    <row r="86" spans="1:31" x14ac:dyDescent="0.3">
      <c r="A86" t="str">
        <f t="shared" si="43"/>
        <v>2021-08-21 11:35:00</v>
      </c>
      <c r="B86" t="str">
        <f t="shared" si="44"/>
        <v>Muttaqin /Bp</v>
      </c>
      <c r="C86">
        <f t="shared" si="45"/>
        <v>89668233600</v>
      </c>
      <c r="D86" t="str">
        <f t="shared" si="46"/>
        <v>Jawa Tengah</v>
      </c>
      <c r="E86" t="str">
        <f t="shared" si="47"/>
        <v>Stenly</v>
      </c>
      <c r="F86" t="str">
        <f t="shared" si="48"/>
        <v>a</v>
      </c>
      <c r="G86" t="str">
        <f t="shared" si="49"/>
        <v>b</v>
      </c>
      <c r="H86" t="str">
        <f t="shared" si="50"/>
        <v>3q</v>
      </c>
      <c r="I86" t="str">
        <f t="shared" si="51"/>
        <v>Repair Request (SDSS / SSR)</v>
      </c>
      <c r="J86" t="str">
        <f t="shared" si="52"/>
        <v>LED 37"~42"</v>
      </c>
      <c r="K86" t="str">
        <f t="shared" si="53"/>
        <v>LC-40SA5200I</v>
      </c>
      <c r="L86" t="str">
        <f t="shared" si="54"/>
        <v>Tidak bisa simpan siaran</v>
      </c>
      <c r="M86" t="str">
        <f t="shared" si="55"/>
        <v>- 15A8Z22141320;D2133092 - CTI2CSMS</v>
      </c>
      <c r="N86" t="str">
        <f t="shared" si="56"/>
        <v>Hg</v>
      </c>
      <c r="Q86" s="5">
        <v>44429.482638888891</v>
      </c>
      <c r="R86" s="5" t="s">
        <v>104</v>
      </c>
      <c r="S86" s="5" t="s">
        <v>463</v>
      </c>
      <c r="T86" s="5">
        <v>89668233600</v>
      </c>
      <c r="U86" s="5" t="s">
        <v>19</v>
      </c>
      <c r="V86" s="5" t="s">
        <v>15</v>
      </c>
      <c r="W86" s="5" t="s">
        <v>56</v>
      </c>
      <c r="X86" s="5" t="s">
        <v>47</v>
      </c>
      <c r="Y86" s="5" t="s">
        <v>48</v>
      </c>
      <c r="Z86" s="5" t="s">
        <v>84</v>
      </c>
      <c r="AA86" s="5" t="s">
        <v>464</v>
      </c>
      <c r="AB86" s="5" t="s">
        <v>465</v>
      </c>
      <c r="AC86" s="5" t="s">
        <v>466</v>
      </c>
      <c r="AD86" s="5" t="s">
        <v>64</v>
      </c>
    </row>
    <row r="87" spans="1:31" x14ac:dyDescent="0.3">
      <c r="A87" t="str">
        <f t="shared" si="43"/>
        <v>2021-08-15 12:52:00</v>
      </c>
      <c r="B87" t="str">
        <f t="shared" si="44"/>
        <v>Sultan /Bp</v>
      </c>
      <c r="C87">
        <f t="shared" si="45"/>
        <v>82299810205</v>
      </c>
      <c r="D87" t="str">
        <f t="shared" si="46"/>
        <v>Jakarta</v>
      </c>
      <c r="E87" t="str">
        <f t="shared" si="47"/>
        <v>Stenly</v>
      </c>
      <c r="F87" t="str">
        <f t="shared" si="48"/>
        <v>b</v>
      </c>
      <c r="G87" t="str">
        <f t="shared" si="49"/>
        <v>b</v>
      </c>
      <c r="H87" t="str">
        <f t="shared" si="50"/>
        <v>3a</v>
      </c>
      <c r="I87" t="str">
        <f t="shared" si="51"/>
        <v>Repair/Notification Request</v>
      </c>
      <c r="J87" t="str">
        <f t="shared" si="52"/>
        <v>Room Air Con</v>
      </c>
      <c r="K87" t="str">
        <f t="shared" si="53"/>
        <v>AH-A9UCY</v>
      </c>
      <c r="L87" t="str">
        <f t="shared" si="54"/>
        <v>tidak dingin</v>
      </c>
      <c r="M87" t="str">
        <f t="shared" si="55"/>
        <v>202961428 3359451 ROBOT1</v>
      </c>
      <c r="N87" t="str">
        <f t="shared" si="56"/>
        <v>Mg</v>
      </c>
      <c r="Q87" s="5">
        <v>44423.536111111112</v>
      </c>
      <c r="R87" s="5" t="s">
        <v>104</v>
      </c>
      <c r="S87" s="5" t="s">
        <v>467</v>
      </c>
      <c r="T87" s="5">
        <v>82299810205</v>
      </c>
      <c r="U87" s="5" t="s">
        <v>15</v>
      </c>
      <c r="V87" s="5" t="s">
        <v>15</v>
      </c>
      <c r="W87" s="5" t="s">
        <v>33</v>
      </c>
      <c r="X87" s="5" t="s">
        <v>16</v>
      </c>
      <c r="Y87" s="5" t="s">
        <v>17</v>
      </c>
      <c r="Z87" s="5" t="s">
        <v>20</v>
      </c>
      <c r="AA87" s="5" t="s">
        <v>105</v>
      </c>
      <c r="AB87" s="5" t="s">
        <v>24</v>
      </c>
      <c r="AC87" s="5" t="s">
        <v>468</v>
      </c>
      <c r="AD87" s="5" t="s">
        <v>106</v>
      </c>
    </row>
    <row r="88" spans="1:31" x14ac:dyDescent="0.3">
      <c r="A88" t="str">
        <f t="shared" si="43"/>
        <v>2021-08-15 10:07:00</v>
      </c>
      <c r="B88" t="str">
        <f t="shared" si="44"/>
        <v>Faisal /Bp</v>
      </c>
      <c r="C88">
        <f t="shared" si="45"/>
        <v>82391884238</v>
      </c>
      <c r="D88" t="str">
        <f t="shared" si="46"/>
        <v>Sulawesi Selatan</v>
      </c>
      <c r="E88" t="str">
        <f t="shared" si="47"/>
        <v>Stenly</v>
      </c>
      <c r="F88" t="str">
        <f t="shared" si="48"/>
        <v>a</v>
      </c>
      <c r="G88" t="str">
        <f t="shared" si="49"/>
        <v>b</v>
      </c>
      <c r="H88" t="str">
        <f t="shared" si="50"/>
        <v>3a</v>
      </c>
      <c r="I88" t="str">
        <f t="shared" si="51"/>
        <v>Repair/Notification Request</v>
      </c>
      <c r="J88" t="str">
        <f t="shared" si="52"/>
        <v>Washing M.Twin Tub Local</v>
      </c>
      <c r="K88" t="str">
        <f t="shared" si="53"/>
        <v>ES-T65MW-BK</v>
      </c>
      <c r="L88" t="str">
        <f t="shared" si="54"/>
        <v>Wash tidak putar</v>
      </c>
      <c r="M88" t="str">
        <f t="shared" si="55"/>
        <v>202961391 3359415 ROBOT1</v>
      </c>
      <c r="N88" t="str">
        <f t="shared" si="56"/>
        <v>Hg</v>
      </c>
      <c r="Q88" s="5">
        <v>44423.421527777777</v>
      </c>
      <c r="R88" s="5" t="s">
        <v>104</v>
      </c>
      <c r="S88" s="5" t="s">
        <v>469</v>
      </c>
      <c r="T88" s="5">
        <v>82391884238</v>
      </c>
      <c r="U88" s="5" t="s">
        <v>19</v>
      </c>
      <c r="V88" s="5" t="s">
        <v>15</v>
      </c>
      <c r="W88" s="5" t="s">
        <v>78</v>
      </c>
      <c r="X88" s="5" t="s">
        <v>16</v>
      </c>
      <c r="Y88" s="5" t="s">
        <v>17</v>
      </c>
      <c r="Z88" s="5" t="s">
        <v>21</v>
      </c>
      <c r="AA88" s="5" t="s">
        <v>107</v>
      </c>
      <c r="AB88" s="5" t="s">
        <v>470</v>
      </c>
      <c r="AC88" s="5" t="s">
        <v>471</v>
      </c>
      <c r="AD88" s="5" t="s">
        <v>64</v>
      </c>
    </row>
    <row r="89" spans="1:31" x14ac:dyDescent="0.3">
      <c r="A89" t="str">
        <f t="shared" si="43"/>
        <v>2021-08-16 08:40:00</v>
      </c>
      <c r="B89" t="str">
        <f t="shared" si="44"/>
        <v>M Muklis /bp</v>
      </c>
      <c r="C89">
        <f t="shared" si="45"/>
        <v>81231999666</v>
      </c>
      <c r="D89" t="str">
        <f t="shared" si="46"/>
        <v>Jawa Timur</v>
      </c>
      <c r="E89" t="str">
        <f t="shared" si="47"/>
        <v>Subehan</v>
      </c>
      <c r="F89" t="str">
        <f t="shared" si="48"/>
        <v>b</v>
      </c>
      <c r="G89" t="str">
        <f t="shared" si="49"/>
        <v>b</v>
      </c>
      <c r="H89" t="str">
        <f t="shared" si="50"/>
        <v>3m</v>
      </c>
      <c r="I89" t="str">
        <f t="shared" si="51"/>
        <v>Repair Request (Branch)</v>
      </c>
      <c r="J89" t="str">
        <f t="shared" si="52"/>
        <v>Water Dispenser Bottom Loading</v>
      </c>
      <c r="K89" t="str">
        <f t="shared" si="53"/>
        <v>SWD-70EHL-SL</v>
      </c>
      <c r="L89" t="str">
        <f t="shared" si="54"/>
        <v>air tidak mau naik</v>
      </c>
      <c r="M89" t="str">
        <f t="shared" si="55"/>
        <v>202961837 3359765 ROBOT1</v>
      </c>
      <c r="N89" t="str">
        <f t="shared" si="56"/>
        <v>hg/Urgent</v>
      </c>
      <c r="Q89" s="5">
        <v>44424.361111111109</v>
      </c>
      <c r="R89" s="5" t="s">
        <v>472</v>
      </c>
      <c r="S89" s="5" t="s">
        <v>305</v>
      </c>
      <c r="T89" s="5">
        <v>81231999666</v>
      </c>
      <c r="U89" s="5" t="s">
        <v>15</v>
      </c>
      <c r="V89" s="5" t="s">
        <v>15</v>
      </c>
      <c r="W89" s="5" t="s">
        <v>31</v>
      </c>
      <c r="X89" s="5" t="s">
        <v>40</v>
      </c>
      <c r="Y89" s="5" t="s">
        <v>41</v>
      </c>
      <c r="Z89" s="5" t="s">
        <v>43</v>
      </c>
      <c r="AA89" s="5" t="s">
        <v>306</v>
      </c>
      <c r="AB89" s="5" t="s">
        <v>473</v>
      </c>
      <c r="AC89" s="5" t="s">
        <v>474</v>
      </c>
      <c r="AD89" s="5" t="s">
        <v>475</v>
      </c>
    </row>
    <row r="90" spans="1:31" x14ac:dyDescent="0.3">
      <c r="A90" t="str">
        <f t="shared" si="43"/>
        <v>2021-08-20 08:08:00</v>
      </c>
      <c r="B90" t="str">
        <f t="shared" si="44"/>
        <v>Dedi /Bp</v>
      </c>
      <c r="C90">
        <f t="shared" si="45"/>
        <v>82283975185</v>
      </c>
      <c r="D90" t="str">
        <f t="shared" si="46"/>
        <v>Riau</v>
      </c>
      <c r="E90" t="str">
        <f t="shared" si="47"/>
        <v>Subehan</v>
      </c>
      <c r="F90" t="str">
        <f t="shared" si="48"/>
        <v>b</v>
      </c>
      <c r="G90" t="str">
        <f t="shared" si="49"/>
        <v>b</v>
      </c>
      <c r="H90" t="str">
        <f t="shared" si="50"/>
        <v>3m</v>
      </c>
      <c r="I90" t="str">
        <f t="shared" si="51"/>
        <v>Repair Request (Branch)</v>
      </c>
      <c r="J90" t="str">
        <f t="shared" si="52"/>
        <v>Reff 1D Local</v>
      </c>
      <c r="K90" t="str">
        <f t="shared" si="53"/>
        <v>SJ-X185MG-GR</v>
      </c>
      <c r="L90" t="str">
        <f t="shared" si="54"/>
        <v>tidak dingin</v>
      </c>
      <c r="M90" t="str">
        <f t="shared" si="55"/>
        <v>202965708 3363932 ROBOT1</v>
      </c>
      <c r="N90" t="str">
        <f t="shared" si="56"/>
        <v>mg</v>
      </c>
      <c r="Q90" s="5">
        <v>44428.338888888888</v>
      </c>
      <c r="R90" s="5" t="s">
        <v>472</v>
      </c>
      <c r="S90" s="5" t="s">
        <v>476</v>
      </c>
      <c r="T90" s="5">
        <v>82283975185</v>
      </c>
      <c r="U90" s="5" t="s">
        <v>15</v>
      </c>
      <c r="V90" s="5" t="s">
        <v>15</v>
      </c>
      <c r="W90" s="5" t="s">
        <v>266</v>
      </c>
      <c r="X90" s="5" t="s">
        <v>40</v>
      </c>
      <c r="Y90" s="5" t="s">
        <v>41</v>
      </c>
      <c r="Z90" s="5" t="s">
        <v>27</v>
      </c>
      <c r="AA90" s="5" t="s">
        <v>477</v>
      </c>
      <c r="AB90" s="5" t="s">
        <v>24</v>
      </c>
      <c r="AC90" s="5" t="s">
        <v>478</v>
      </c>
      <c r="AD90" s="5" t="s">
        <v>51</v>
      </c>
    </row>
    <row r="91" spans="1:31" x14ac:dyDescent="0.3">
      <c r="A91" t="str">
        <f t="shared" si="43"/>
        <v>2021-08-19 12:47:00</v>
      </c>
      <c r="B91" t="str">
        <f t="shared" si="44"/>
        <v>SANTOS /BP</v>
      </c>
      <c r="C91">
        <f t="shared" si="45"/>
        <v>81321108991</v>
      </c>
      <c r="D91" t="str">
        <f t="shared" si="46"/>
        <v>Jawa Barat</v>
      </c>
      <c r="E91" t="str">
        <f t="shared" si="47"/>
        <v>Subehan</v>
      </c>
      <c r="F91" t="str">
        <f t="shared" si="48"/>
        <v>a</v>
      </c>
      <c r="G91" t="str">
        <f t="shared" si="49"/>
        <v>b</v>
      </c>
      <c r="H91" t="str">
        <f t="shared" si="50"/>
        <v>3m</v>
      </c>
      <c r="I91" t="str">
        <f t="shared" si="51"/>
        <v>Repair Request (Branch)</v>
      </c>
      <c r="J91" t="str">
        <f t="shared" si="52"/>
        <v>Water Dispenser Bottom Loading</v>
      </c>
      <c r="K91" t="str">
        <f t="shared" si="53"/>
        <v>SWD-70EH-BK</v>
      </c>
      <c r="L91" t="str">
        <f t="shared" si="54"/>
        <v>air tidak naik</v>
      </c>
      <c r="M91" t="str">
        <f t="shared" si="55"/>
        <v>202964410 3358867 ROBOT1</v>
      </c>
      <c r="N91" t="str">
        <f t="shared" si="56"/>
        <v>hg/urgent</v>
      </c>
      <c r="Q91" s="5">
        <v>44427.532638888886</v>
      </c>
      <c r="R91" s="5" t="s">
        <v>472</v>
      </c>
      <c r="S91" s="5" t="s">
        <v>479</v>
      </c>
      <c r="T91" s="5">
        <v>81321108991</v>
      </c>
      <c r="U91" s="5" t="s">
        <v>19</v>
      </c>
      <c r="V91" s="5" t="s">
        <v>15</v>
      </c>
      <c r="W91" s="5" t="s">
        <v>32</v>
      </c>
      <c r="X91" s="5" t="s">
        <v>40</v>
      </c>
      <c r="Y91" s="5" t="s">
        <v>41</v>
      </c>
      <c r="Z91" s="5" t="s">
        <v>43</v>
      </c>
      <c r="AA91" s="5" t="s">
        <v>115</v>
      </c>
      <c r="AB91" s="5" t="s">
        <v>58</v>
      </c>
      <c r="AC91" s="5" t="s">
        <v>480</v>
      </c>
      <c r="AD91" s="5" t="s">
        <v>481</v>
      </c>
    </row>
    <row r="92" spans="1:31" x14ac:dyDescent="0.3">
      <c r="A92" t="str">
        <f t="shared" si="43"/>
        <v>2021-08-14 14:43:00</v>
      </c>
      <c r="B92" t="str">
        <f t="shared" si="44"/>
        <v>Dodi /bp</v>
      </c>
      <c r="C92">
        <f t="shared" si="45"/>
        <v>87887110657</v>
      </c>
      <c r="D92" t="str">
        <f t="shared" si="46"/>
        <v/>
      </c>
      <c r="E92" t="str">
        <f t="shared" si="47"/>
        <v>Taufik</v>
      </c>
      <c r="F92" t="str">
        <f t="shared" si="48"/>
        <v>b</v>
      </c>
      <c r="G92" t="str">
        <f t="shared" si="49"/>
        <v>a</v>
      </c>
      <c r="H92" t="str">
        <f t="shared" si="50"/>
        <v>2a</v>
      </c>
      <c r="I92" t="str">
        <f t="shared" si="51"/>
        <v>Usage Explanation</v>
      </c>
      <c r="J92" t="str">
        <f t="shared" si="52"/>
        <v>Washing M.Auto Local</v>
      </c>
      <c r="K92" t="str">
        <f t="shared" si="53"/>
        <v>ES-M909T-GG</v>
      </c>
      <c r="L92" t="str">
        <f t="shared" si="54"/>
        <v>Supply air yang rendah.</v>
      </c>
      <c r="M92" t="str">
        <f t="shared" si="55"/>
        <v>mencoba cabut kelistrikan dan setting ulang. Tingkatkan supply air, Tekan MULAI/TUNDA. Buka keran air, tekan MULAI/TUNDA. Bersihkan filter, tekan MULAI/TUNDA.</v>
      </c>
      <c r="N92" t="str">
        <f t="shared" si="56"/>
        <v/>
      </c>
      <c r="Q92" s="5">
        <v>44422.613194444442</v>
      </c>
      <c r="R92" s="5" t="s">
        <v>482</v>
      </c>
      <c r="S92" s="5" t="s">
        <v>483</v>
      </c>
      <c r="T92" s="5">
        <v>87887110657</v>
      </c>
      <c r="U92" s="5" t="s">
        <v>15</v>
      </c>
      <c r="V92" s="5" t="s">
        <v>19</v>
      </c>
      <c r="X92" s="5" t="s">
        <v>22</v>
      </c>
      <c r="Y92" s="5" t="s">
        <v>23</v>
      </c>
      <c r="Z92" s="5" t="s">
        <v>113</v>
      </c>
      <c r="AA92" s="5" t="s">
        <v>114</v>
      </c>
      <c r="AB92" s="5" t="s">
        <v>484</v>
      </c>
      <c r="AC92" s="5" t="s">
        <v>485</v>
      </c>
    </row>
    <row r="93" spans="1:31" x14ac:dyDescent="0.3">
      <c r="A93" t="str">
        <f t="shared" si="43"/>
        <v>2021-08-11 11:42:00</v>
      </c>
      <c r="B93" t="str">
        <f t="shared" si="44"/>
        <v>Taswin /Bp</v>
      </c>
      <c r="C93">
        <f t="shared" si="45"/>
        <v>81281253777</v>
      </c>
      <c r="D93" t="str">
        <f t="shared" si="46"/>
        <v>None</v>
      </c>
      <c r="E93" t="str">
        <f t="shared" si="47"/>
        <v>Taufik</v>
      </c>
      <c r="F93" t="str">
        <f t="shared" si="48"/>
        <v>b</v>
      </c>
      <c r="G93" t="str">
        <f t="shared" si="49"/>
        <v>b</v>
      </c>
      <c r="H93" t="str">
        <f t="shared" si="50"/>
        <v>2a</v>
      </c>
      <c r="I93" t="str">
        <f t="shared" si="51"/>
        <v>Usage Explanation</v>
      </c>
      <c r="J93" t="str">
        <f t="shared" si="52"/>
        <v>Water Dispenser Bottom Loading</v>
      </c>
      <c r="K93" t="str">
        <f t="shared" si="53"/>
        <v>SWD-75EHL-BD</v>
      </c>
      <c r="L93" t="str">
        <f t="shared" si="54"/>
        <v>setting watt</v>
      </c>
      <c r="M93" t="str">
        <f t="shared" si="55"/>
        <v>watt minimal setting 185 menyarankan setting watt maximal setting di watt 385 untuk mengoptimalkan settingan suhu dispenser</v>
      </c>
      <c r="N93" t="str">
        <f t="shared" si="56"/>
        <v/>
      </c>
      <c r="Q93" s="5">
        <v>44419.487500000003</v>
      </c>
      <c r="R93" s="5" t="s">
        <v>482</v>
      </c>
      <c r="S93" s="5" t="s">
        <v>486</v>
      </c>
      <c r="T93" s="5">
        <v>81281253777</v>
      </c>
      <c r="U93" s="5" t="s">
        <v>15</v>
      </c>
      <c r="V93" s="5" t="s">
        <v>15</v>
      </c>
      <c r="W93" s="5" t="s">
        <v>116</v>
      </c>
      <c r="X93" s="5" t="s">
        <v>22</v>
      </c>
      <c r="Y93" s="5" t="s">
        <v>23</v>
      </c>
      <c r="Z93" s="5" t="s">
        <v>43</v>
      </c>
      <c r="AA93" s="5" t="s">
        <v>487</v>
      </c>
      <c r="AB93" s="5" t="s">
        <v>488</v>
      </c>
      <c r="AC93" s="5" t="s">
        <v>489</v>
      </c>
      <c r="AE93" s="11" t="s">
        <v>126</v>
      </c>
    </row>
    <row r="94" spans="1:31" x14ac:dyDescent="0.3">
      <c r="A94" t="str">
        <f t="shared" si="43"/>
        <v>2021-08-11 08:26:00</v>
      </c>
      <c r="B94" t="str">
        <f t="shared" si="44"/>
        <v>Cucu /ibu</v>
      </c>
      <c r="C94">
        <f t="shared" si="45"/>
        <v>83862783915</v>
      </c>
      <c r="D94" t="str">
        <f t="shared" si="46"/>
        <v>None</v>
      </c>
      <c r="E94" t="str">
        <f t="shared" si="47"/>
        <v>Taufik</v>
      </c>
      <c r="F94" t="str">
        <f t="shared" si="48"/>
        <v>a</v>
      </c>
      <c r="G94" t="str">
        <f t="shared" si="49"/>
        <v>b</v>
      </c>
      <c r="H94" t="str">
        <f t="shared" si="50"/>
        <v>2a</v>
      </c>
      <c r="I94" t="str">
        <f t="shared" si="51"/>
        <v>Usage Explanation</v>
      </c>
      <c r="J94" t="str">
        <f t="shared" si="52"/>
        <v>Reff 2D Local</v>
      </c>
      <c r="K94" t="str">
        <f t="shared" si="53"/>
        <v>SJ-197ND-VP</v>
      </c>
      <c r="L94" t="str">
        <f t="shared" si="54"/>
        <v>bunyi berisik/mendengkur</v>
      </c>
      <c r="M94" t="str">
        <f t="shared" si="55"/>
        <v>hal tersebut normal bunyi terjadi karena proses penyuntikan gas freon ke evap dari pipa kapilernya yang terjadi di belakang frezer pada saat awal proses pendinginan/ hidup kompresor</v>
      </c>
      <c r="N94" t="str">
        <f t="shared" si="56"/>
        <v/>
      </c>
      <c r="Q94" s="5">
        <v>44419.351388888892</v>
      </c>
      <c r="R94" s="5" t="s">
        <v>482</v>
      </c>
      <c r="S94" s="5" t="s">
        <v>490</v>
      </c>
      <c r="T94" s="5">
        <v>83862783915</v>
      </c>
      <c r="U94" s="5" t="s">
        <v>19</v>
      </c>
      <c r="V94" s="5" t="s">
        <v>15</v>
      </c>
      <c r="W94" s="5" t="s">
        <v>116</v>
      </c>
      <c r="X94" s="5" t="s">
        <v>22</v>
      </c>
      <c r="Y94" s="5" t="s">
        <v>23</v>
      </c>
      <c r="Z94" s="5" t="s">
        <v>25</v>
      </c>
      <c r="AA94" s="5" t="s">
        <v>491</v>
      </c>
      <c r="AB94" s="5" t="s">
        <v>492</v>
      </c>
      <c r="AC94" s="5" t="s">
        <v>493</v>
      </c>
    </row>
    <row r="95" spans="1:31" x14ac:dyDescent="0.3">
      <c r="A95" t="str">
        <f t="shared" ref="A95:A106" si="57">YEAR(Q95)&amp;"-"&amp;IF(MONTH(Q95)&lt;10,"0"&amp;MONTH(Q95),MONTH(Q95))&amp;"-"&amp;IF(DAY(Q95)&lt;10,"0"&amp;DAY(Q95),DAY(Q95))&amp;" "&amp;IF(HOUR(Q95)&lt;10,"0"&amp;HOUR(Q95),HOUR(Q95))&amp;":"&amp;IF(MINUTE(Q95)&lt;10,"0"&amp;MINUTE(Q95),MINUTE(Q95))&amp;":"&amp;IF(SECOND(Q95)&lt;10,"0"&amp;SECOND(Q95),SECOND(Q95))</f>
        <v>2021-08-16 13:42:00</v>
      </c>
      <c r="B95" t="str">
        <f t="shared" ref="B95:B106" si="58">IF(S95="","",S95)</f>
        <v>Aris /Bp</v>
      </c>
      <c r="C95">
        <f t="shared" ref="C95:C106" si="59">IF(T95="","",T95)</f>
        <v>81310226641</v>
      </c>
      <c r="D95" t="str">
        <f t="shared" ref="D95:D106" si="60">IF(W95="","",W95)</f>
        <v>Jawa Barat</v>
      </c>
      <c r="E95" t="str">
        <f t="shared" ref="E95:E106" si="61">IF(R95="","",R95)</f>
        <v>Tegar</v>
      </c>
      <c r="F95" t="str">
        <f t="shared" ref="F95:F106" si="62">IF(U95="","",U95)</f>
        <v>b</v>
      </c>
      <c r="G95" t="str">
        <f t="shared" ref="G95:G106" si="63">IF(V95="","",V95)</f>
        <v>a</v>
      </c>
      <c r="H95" t="str">
        <f t="shared" ref="H95:H106" si="64">IF(X95="","",X95)</f>
        <v>3m</v>
      </c>
      <c r="I95" t="str">
        <f t="shared" ref="I95:I106" si="65">IF(Y95="","",Y95)</f>
        <v>Repair Request (Branch)</v>
      </c>
      <c r="J95" t="str">
        <f t="shared" ref="J95:J106" si="66">IF(Z95="","",Z95)</f>
        <v>Washing M.Auto</v>
      </c>
      <c r="K95" t="str">
        <f t="shared" ref="K95:K106" si="67">IF(AA95="","",AA95)</f>
        <v>ES-M1008T-SA</v>
      </c>
      <c r="L95" t="str">
        <f t="shared" ref="L95:L106" si="68">IF(AB95="","",AB95)</f>
        <v>air sangat kecil sekali</v>
      </c>
      <c r="M95" t="str">
        <f t="shared" ref="M95:M106" si="69">IF(AC95="","",AC95)</f>
        <v>202962530 3360650 ROBOT1</v>
      </c>
      <c r="N95" t="str">
        <f t="shared" ref="N95:N106" si="70">IF(AD95="","",AD95)</f>
        <v>MG /Via login store /tk dg bp tony 0226011014</v>
      </c>
      <c r="Q95" s="5">
        <v>44424.570833333331</v>
      </c>
      <c r="R95" s="5" t="s">
        <v>494</v>
      </c>
      <c r="S95" s="5" t="s">
        <v>495</v>
      </c>
      <c r="T95" s="5">
        <v>81310226641</v>
      </c>
      <c r="U95" s="5" t="s">
        <v>15</v>
      </c>
      <c r="V95" s="5" t="s">
        <v>19</v>
      </c>
      <c r="W95" s="5" t="s">
        <v>32</v>
      </c>
      <c r="X95" s="5" t="s">
        <v>40</v>
      </c>
      <c r="Y95" s="5" t="s">
        <v>41</v>
      </c>
      <c r="Z95" s="5" t="s">
        <v>45</v>
      </c>
      <c r="AA95" s="5" t="s">
        <v>496</v>
      </c>
      <c r="AB95" s="5" t="s">
        <v>497</v>
      </c>
      <c r="AC95" s="5" t="s">
        <v>498</v>
      </c>
      <c r="AD95" s="5" t="s">
        <v>499</v>
      </c>
    </row>
    <row r="96" spans="1:31" x14ac:dyDescent="0.3">
      <c r="A96" t="str">
        <f t="shared" si="57"/>
        <v>2021-08-16 18:18:00</v>
      </c>
      <c r="B96" t="str">
        <f t="shared" si="58"/>
        <v>Anggi /Bp</v>
      </c>
      <c r="C96">
        <f t="shared" si="59"/>
        <v>81220446174</v>
      </c>
      <c r="D96" t="str">
        <f t="shared" si="60"/>
        <v>Jawa Barat</v>
      </c>
      <c r="E96" t="str">
        <f t="shared" si="61"/>
        <v>Tegar</v>
      </c>
      <c r="F96" t="str">
        <f t="shared" si="62"/>
        <v>b</v>
      </c>
      <c r="G96" t="str">
        <f t="shared" si="63"/>
        <v>b</v>
      </c>
      <c r="H96" t="str">
        <f t="shared" si="64"/>
        <v>3m</v>
      </c>
      <c r="I96" t="str">
        <f t="shared" si="65"/>
        <v>Repair Request (Branch)</v>
      </c>
      <c r="J96" t="str">
        <f t="shared" si="66"/>
        <v>Reff 1D Local</v>
      </c>
      <c r="K96" t="str">
        <f t="shared" si="67"/>
        <v>SJ-X185MG-GR</v>
      </c>
      <c r="L96" t="str">
        <f t="shared" si="68"/>
        <v>tidak dingin</v>
      </c>
      <c r="M96" t="str">
        <f t="shared" si="69"/>
        <v>202962683 3360765 ROBOT1</v>
      </c>
      <c r="N96" t="str">
        <f t="shared" si="70"/>
        <v>MG /Telp Dulu ke nomor 082319952781</v>
      </c>
      <c r="Q96" s="5">
        <v>44424.762499999997</v>
      </c>
      <c r="R96" s="5" t="s">
        <v>494</v>
      </c>
      <c r="S96" s="5" t="s">
        <v>500</v>
      </c>
      <c r="T96" s="5">
        <v>81220446174</v>
      </c>
      <c r="U96" s="5" t="s">
        <v>15</v>
      </c>
      <c r="V96" s="5" t="s">
        <v>15</v>
      </c>
      <c r="W96" s="5" t="s">
        <v>32</v>
      </c>
      <c r="X96" s="5" t="s">
        <v>40</v>
      </c>
      <c r="Y96" s="5" t="s">
        <v>41</v>
      </c>
      <c r="Z96" s="5" t="s">
        <v>27</v>
      </c>
      <c r="AA96" s="5" t="s">
        <v>477</v>
      </c>
      <c r="AB96" s="5" t="s">
        <v>24</v>
      </c>
      <c r="AC96" s="5" t="s">
        <v>501</v>
      </c>
      <c r="AD96" s="5" t="s">
        <v>502</v>
      </c>
    </row>
    <row r="97" spans="1:30" x14ac:dyDescent="0.3">
      <c r="A97" t="str">
        <f t="shared" si="57"/>
        <v>2021-08-16 15:16:00</v>
      </c>
      <c r="B97" t="str">
        <f t="shared" si="58"/>
        <v>Imam /Bp</v>
      </c>
      <c r="C97">
        <f t="shared" si="59"/>
        <v>8161401468</v>
      </c>
      <c r="D97" t="str">
        <f t="shared" si="60"/>
        <v/>
      </c>
      <c r="E97" t="str">
        <f t="shared" si="61"/>
        <v>Tegar</v>
      </c>
      <c r="F97" t="str">
        <f t="shared" si="62"/>
        <v>a</v>
      </c>
      <c r="G97" t="str">
        <f t="shared" si="63"/>
        <v>a</v>
      </c>
      <c r="H97" t="str">
        <f t="shared" si="64"/>
        <v>2a</v>
      </c>
      <c r="I97" t="str">
        <f t="shared" si="65"/>
        <v>Usage Explanation</v>
      </c>
      <c r="J97" t="str">
        <f t="shared" si="66"/>
        <v>LED 32"</v>
      </c>
      <c r="K97" t="str">
        <f t="shared" si="67"/>
        <v>LC-32SA4200I</v>
      </c>
      <c r="L97" t="str">
        <f t="shared" si="68"/>
        <v>Layar tidak menyala</v>
      </c>
      <c r="M97" t="str">
        <f t="shared" si="69"/>
        <v>Infokan untuk mencoba mematikan televisi terlebih dahulu selama 5-10 menit terlebih dahulu</v>
      </c>
      <c r="N97" t="str">
        <f t="shared" si="70"/>
        <v/>
      </c>
      <c r="Q97" s="5">
        <v>44424.636111111111</v>
      </c>
      <c r="R97" s="5" t="s">
        <v>494</v>
      </c>
      <c r="S97" s="5" t="s">
        <v>503</v>
      </c>
      <c r="T97" s="5">
        <v>8161401468</v>
      </c>
      <c r="U97" s="5" t="s">
        <v>19</v>
      </c>
      <c r="V97" s="5" t="s">
        <v>19</v>
      </c>
      <c r="X97" s="5" t="s">
        <v>22</v>
      </c>
      <c r="Y97" s="5" t="s">
        <v>23</v>
      </c>
      <c r="Z97" s="5" t="s">
        <v>30</v>
      </c>
      <c r="AA97" s="5" t="s">
        <v>504</v>
      </c>
      <c r="AB97" s="5" t="s">
        <v>505</v>
      </c>
      <c r="AC97" s="5" t="s">
        <v>506</v>
      </c>
    </row>
    <row r="98" spans="1:30" x14ac:dyDescent="0.3">
      <c r="A98" t="str">
        <f t="shared" si="57"/>
        <v>2021-08-04 10:53:00</v>
      </c>
      <c r="B98" t="str">
        <f t="shared" si="58"/>
        <v>Tanti /Ibu</v>
      </c>
      <c r="C98">
        <f t="shared" si="59"/>
        <v>88233791008</v>
      </c>
      <c r="D98" t="str">
        <f t="shared" si="60"/>
        <v/>
      </c>
      <c r="E98" t="str">
        <f t="shared" si="61"/>
        <v>Thasia</v>
      </c>
      <c r="F98" t="str">
        <f t="shared" si="62"/>
        <v>a</v>
      </c>
      <c r="G98" t="str">
        <f t="shared" si="63"/>
        <v>a</v>
      </c>
      <c r="H98" t="str">
        <f t="shared" si="64"/>
        <v>2a</v>
      </c>
      <c r="I98" t="str">
        <f t="shared" si="65"/>
        <v>Usage Explanation</v>
      </c>
      <c r="J98" t="str">
        <f t="shared" si="66"/>
        <v>LED 32"</v>
      </c>
      <c r="K98" t="str">
        <f t="shared" si="67"/>
        <v>2T-C32BG1I</v>
      </c>
      <c r="L98" t="str">
        <f t="shared" si="68"/>
        <v>warna layar hitam-putih (kons minta saran penanganan pertama dahulu)</v>
      </c>
      <c r="M98" t="str">
        <f t="shared" si="69"/>
        <v>sarankan untuk restart dahulu tvnya selama 15-30 menit</v>
      </c>
      <c r="N98" t="str">
        <f t="shared" si="70"/>
        <v>NonZ2</v>
      </c>
      <c r="Q98" s="5">
        <v>44412.453472222223</v>
      </c>
      <c r="R98" s="5" t="s">
        <v>109</v>
      </c>
      <c r="S98" s="5" t="s">
        <v>297</v>
      </c>
      <c r="T98" s="5">
        <v>88233791008</v>
      </c>
      <c r="U98" s="5" t="s">
        <v>19</v>
      </c>
      <c r="V98" s="5" t="s">
        <v>19</v>
      </c>
      <c r="X98" s="5" t="s">
        <v>22</v>
      </c>
      <c r="Y98" s="5" t="s">
        <v>23</v>
      </c>
      <c r="Z98" s="5" t="s">
        <v>30</v>
      </c>
      <c r="AA98" s="5" t="s">
        <v>110</v>
      </c>
      <c r="AB98" s="5" t="s">
        <v>507</v>
      </c>
      <c r="AC98" s="5" t="s">
        <v>508</v>
      </c>
      <c r="AD98" s="5" t="s">
        <v>509</v>
      </c>
    </row>
    <row r="99" spans="1:30" x14ac:dyDescent="0.3">
      <c r="A99" t="str">
        <f t="shared" si="57"/>
        <v>2021-08-04 12:36:00</v>
      </c>
      <c r="B99" t="str">
        <f t="shared" si="58"/>
        <v>Yudi /Bp</v>
      </c>
      <c r="C99">
        <f t="shared" si="59"/>
        <v>811190904</v>
      </c>
      <c r="D99" t="str">
        <f t="shared" si="60"/>
        <v/>
      </c>
      <c r="E99" t="str">
        <f t="shared" si="61"/>
        <v>Thasia</v>
      </c>
      <c r="F99" t="str">
        <f t="shared" si="62"/>
        <v>a</v>
      </c>
      <c r="G99" t="str">
        <f t="shared" si="63"/>
        <v>a</v>
      </c>
      <c r="H99" t="str">
        <f t="shared" si="64"/>
        <v>2a</v>
      </c>
      <c r="I99" t="str">
        <f t="shared" si="65"/>
        <v>Usage Explanation</v>
      </c>
      <c r="J99" t="str">
        <f t="shared" si="66"/>
        <v>Reff 2D Local</v>
      </c>
      <c r="K99" t="str">
        <f t="shared" si="67"/>
        <v>SJ-315GC-SS</v>
      </c>
      <c r="L99" t="str">
        <f t="shared" si="68"/>
        <v>R-room kurang dingin</v>
      </c>
      <c r="M99" t="str">
        <f t="shared" si="69"/>
        <v>sarankan untuk mengatur suhu F-room dan R-room terlebih dahulu</v>
      </c>
      <c r="N99" t="str">
        <f t="shared" si="70"/>
        <v>NonZ2</v>
      </c>
      <c r="Q99" s="5">
        <v>44412.525000000001</v>
      </c>
      <c r="R99" s="5" t="s">
        <v>109</v>
      </c>
      <c r="S99" s="5" t="s">
        <v>510</v>
      </c>
      <c r="T99" s="5">
        <v>811190904</v>
      </c>
      <c r="U99" s="5" t="s">
        <v>19</v>
      </c>
      <c r="V99" s="5" t="s">
        <v>19</v>
      </c>
      <c r="X99" s="5" t="s">
        <v>22</v>
      </c>
      <c r="Y99" s="5" t="s">
        <v>23</v>
      </c>
      <c r="Z99" s="5" t="s">
        <v>25</v>
      </c>
      <c r="AA99" s="5" t="s">
        <v>511</v>
      </c>
      <c r="AB99" s="5" t="s">
        <v>512</v>
      </c>
      <c r="AC99" s="5" t="s">
        <v>513</v>
      </c>
      <c r="AD99" s="5" t="s">
        <v>509</v>
      </c>
    </row>
    <row r="100" spans="1:30" x14ac:dyDescent="0.3">
      <c r="A100" t="str">
        <f t="shared" si="57"/>
        <v>2021-08-09 17:19:00</v>
      </c>
      <c r="B100" t="str">
        <f t="shared" si="58"/>
        <v>M. Sidik /Bp</v>
      </c>
      <c r="C100">
        <f t="shared" si="59"/>
        <v>81284325998</v>
      </c>
      <c r="D100" t="str">
        <f t="shared" si="60"/>
        <v/>
      </c>
      <c r="E100" t="str">
        <f t="shared" si="61"/>
        <v>Thasia</v>
      </c>
      <c r="F100" t="str">
        <f t="shared" si="62"/>
        <v>b</v>
      </c>
      <c r="G100" t="str">
        <f t="shared" si="63"/>
        <v>b</v>
      </c>
      <c r="H100" t="str">
        <f t="shared" si="64"/>
        <v>2a</v>
      </c>
      <c r="I100" t="str">
        <f t="shared" si="65"/>
        <v>Usage Explanation</v>
      </c>
      <c r="J100" t="str">
        <f t="shared" si="66"/>
        <v>Reff 2D Local</v>
      </c>
      <c r="K100" t="str">
        <f t="shared" si="67"/>
        <v>SJ-450GP-SD</v>
      </c>
      <c r="L100" t="str">
        <f t="shared" si="68"/>
        <v>tidak dingin</v>
      </c>
      <c r="M100" t="str">
        <f t="shared" si="69"/>
        <v>sarankan untuk restarrt dahulu unitnya selama 4-6 jam</v>
      </c>
      <c r="N100" t="str">
        <f t="shared" si="70"/>
        <v>NonZ2</v>
      </c>
      <c r="Q100" s="5">
        <v>44417.72152777778</v>
      </c>
      <c r="R100" s="5" t="s">
        <v>109</v>
      </c>
      <c r="S100" s="5" t="s">
        <v>514</v>
      </c>
      <c r="T100" s="5">
        <v>81284325998</v>
      </c>
      <c r="U100" s="5" t="s">
        <v>15</v>
      </c>
      <c r="V100" s="5" t="s">
        <v>15</v>
      </c>
      <c r="X100" s="5" t="s">
        <v>22</v>
      </c>
      <c r="Y100" s="5" t="s">
        <v>23</v>
      </c>
      <c r="Z100" s="5" t="s">
        <v>25</v>
      </c>
      <c r="AA100" s="5" t="s">
        <v>250</v>
      </c>
      <c r="AB100" s="5" t="s">
        <v>24</v>
      </c>
      <c r="AC100" s="5" t="s">
        <v>515</v>
      </c>
      <c r="AD100" s="5" t="s">
        <v>509</v>
      </c>
    </row>
    <row r="101" spans="1:30" x14ac:dyDescent="0.3">
      <c r="A101" t="str">
        <f t="shared" si="57"/>
        <v>2021-08-16 10:51:00</v>
      </c>
      <c r="B101" t="str">
        <f t="shared" si="58"/>
        <v>Ciek Yulyan Hisyam /ibu</v>
      </c>
      <c r="C101">
        <f t="shared" si="59"/>
        <v>85771110872</v>
      </c>
      <c r="D101" t="str">
        <f t="shared" si="60"/>
        <v>Jakarta</v>
      </c>
      <c r="E101" t="str">
        <f t="shared" si="61"/>
        <v>Ucup</v>
      </c>
      <c r="F101" t="str">
        <f t="shared" si="62"/>
        <v>a</v>
      </c>
      <c r="G101" t="str">
        <f t="shared" si="63"/>
        <v>b</v>
      </c>
      <c r="H101" t="str">
        <f t="shared" si="64"/>
        <v>3a</v>
      </c>
      <c r="I101" t="str">
        <f t="shared" si="65"/>
        <v>Repair/Notification Request</v>
      </c>
      <c r="J101" t="str">
        <f t="shared" si="66"/>
        <v>LED 32"</v>
      </c>
      <c r="K101" t="str">
        <f t="shared" si="67"/>
        <v>2T-C32BA1I</v>
      </c>
      <c r="L101" t="str">
        <f t="shared" si="68"/>
        <v>suara storing</v>
      </c>
      <c r="M101" t="str">
        <f t="shared" si="69"/>
        <v>202961972 3359943 ROBOT1</v>
      </c>
      <c r="N101" t="str">
        <f t="shared" si="70"/>
        <v>urgent</v>
      </c>
      <c r="Q101" s="5">
        <v>44424.45208333333</v>
      </c>
      <c r="R101" s="5" t="s">
        <v>123</v>
      </c>
      <c r="S101" s="5" t="s">
        <v>516</v>
      </c>
      <c r="T101" s="5">
        <v>85771110872</v>
      </c>
      <c r="U101" s="5" t="s">
        <v>19</v>
      </c>
      <c r="V101" s="5" t="s">
        <v>15</v>
      </c>
      <c r="W101" s="5" t="s">
        <v>33</v>
      </c>
      <c r="X101" s="5" t="s">
        <v>16</v>
      </c>
      <c r="Y101" s="5" t="s">
        <v>17</v>
      </c>
      <c r="Z101" s="5" t="s">
        <v>30</v>
      </c>
      <c r="AA101" s="5" t="s">
        <v>111</v>
      </c>
      <c r="AB101" s="5" t="s">
        <v>517</v>
      </c>
      <c r="AC101" s="5" t="s">
        <v>518</v>
      </c>
      <c r="AD101" s="5" t="s">
        <v>519</v>
      </c>
    </row>
    <row r="102" spans="1:30" x14ac:dyDescent="0.3">
      <c r="A102" t="str">
        <f t="shared" si="57"/>
        <v>2021-08-14 09:36:00</v>
      </c>
      <c r="B102" t="str">
        <f t="shared" si="58"/>
        <v>Muhammad Nur /bp (SDSS 11B7)</v>
      </c>
      <c r="C102">
        <f t="shared" si="59"/>
        <v>8119792900</v>
      </c>
      <c r="D102" t="str">
        <f t="shared" si="60"/>
        <v>Banten</v>
      </c>
      <c r="E102" t="str">
        <f t="shared" si="61"/>
        <v>Ucup</v>
      </c>
      <c r="F102" t="str">
        <f t="shared" si="62"/>
        <v>b</v>
      </c>
      <c r="G102" t="str">
        <f t="shared" si="63"/>
        <v>a</v>
      </c>
      <c r="H102" t="str">
        <f t="shared" si="64"/>
        <v>3a</v>
      </c>
      <c r="I102" t="str">
        <f t="shared" si="65"/>
        <v>Repair/Notification Request</v>
      </c>
      <c r="J102" t="str">
        <f t="shared" si="66"/>
        <v>LED 46"~59"</v>
      </c>
      <c r="K102" t="str">
        <f t="shared" si="67"/>
        <v>LC-50SA5200X</v>
      </c>
      <c r="L102" t="str">
        <f t="shared" si="68"/>
        <v>HDMI tidak fungsi</v>
      </c>
      <c r="M102" t="str">
        <f t="shared" si="69"/>
        <v>202961123 3359259 ROBOT1</v>
      </c>
      <c r="N102" t="str">
        <f t="shared" si="70"/>
        <v>nonz2</v>
      </c>
      <c r="Q102" s="5">
        <v>44422.400000000001</v>
      </c>
      <c r="R102" s="5" t="s">
        <v>123</v>
      </c>
      <c r="S102" s="5" t="s">
        <v>520</v>
      </c>
      <c r="T102" s="5">
        <v>8119792900</v>
      </c>
      <c r="U102" s="5" t="s">
        <v>15</v>
      </c>
      <c r="V102" s="5" t="s">
        <v>19</v>
      </c>
      <c r="W102" s="5" t="s">
        <v>170</v>
      </c>
      <c r="X102" s="5" t="s">
        <v>16</v>
      </c>
      <c r="Y102" s="5" t="s">
        <v>17</v>
      </c>
      <c r="Z102" s="5" t="s">
        <v>59</v>
      </c>
      <c r="AA102" s="5" t="s">
        <v>521</v>
      </c>
      <c r="AB102" s="5" t="s">
        <v>522</v>
      </c>
      <c r="AC102" s="5" t="s">
        <v>523</v>
      </c>
      <c r="AD102" s="5" t="s">
        <v>112</v>
      </c>
    </row>
    <row r="103" spans="1:30" x14ac:dyDescent="0.3">
      <c r="A103" t="str">
        <f t="shared" si="57"/>
        <v>2021-08-05 13:06:00</v>
      </c>
      <c r="B103" t="str">
        <f t="shared" si="58"/>
        <v>nani /ibu</v>
      </c>
      <c r="C103">
        <f t="shared" si="59"/>
        <v>81285549155</v>
      </c>
      <c r="D103" t="str">
        <f t="shared" si="60"/>
        <v>Jawa Barat</v>
      </c>
      <c r="E103" t="str">
        <f t="shared" si="61"/>
        <v>Ucup</v>
      </c>
      <c r="F103" t="str">
        <f t="shared" si="62"/>
        <v>b</v>
      </c>
      <c r="G103" t="str">
        <f t="shared" si="63"/>
        <v>b</v>
      </c>
      <c r="H103" t="str">
        <f t="shared" si="64"/>
        <v>3a</v>
      </c>
      <c r="I103" t="str">
        <f t="shared" si="65"/>
        <v>Repair/Notification Request</v>
      </c>
      <c r="J103" t="str">
        <f t="shared" si="66"/>
        <v>Water Dispenser Bottom Loading</v>
      </c>
      <c r="K103" t="str">
        <f t="shared" si="67"/>
        <v>SWD-70EHL-SL</v>
      </c>
      <c r="L103" t="str">
        <f t="shared" si="68"/>
        <v>tidak dingin (return job Sagita)</v>
      </c>
      <c r="M103" t="str">
        <f t="shared" si="69"/>
        <v>202954039 1826097 ROBOT1</v>
      </c>
      <c r="N103" t="str">
        <f t="shared" si="70"/>
        <v>urgent</v>
      </c>
      <c r="Q103" s="5">
        <v>44413.54583333333</v>
      </c>
      <c r="R103" s="5" t="s">
        <v>123</v>
      </c>
      <c r="S103" s="5" t="s">
        <v>524</v>
      </c>
      <c r="T103" s="5">
        <v>81285549155</v>
      </c>
      <c r="U103" s="5" t="s">
        <v>15</v>
      </c>
      <c r="V103" s="5" t="s">
        <v>15</v>
      </c>
      <c r="W103" s="5" t="s">
        <v>32</v>
      </c>
      <c r="X103" s="5" t="s">
        <v>16</v>
      </c>
      <c r="Y103" s="5" t="s">
        <v>17</v>
      </c>
      <c r="Z103" s="5" t="s">
        <v>43</v>
      </c>
      <c r="AA103" s="5" t="s">
        <v>306</v>
      </c>
      <c r="AB103" s="5" t="s">
        <v>525</v>
      </c>
      <c r="AC103" s="5" t="s">
        <v>526</v>
      </c>
      <c r="AD103" s="5" t="s">
        <v>519</v>
      </c>
    </row>
    <row r="104" spans="1:30" x14ac:dyDescent="0.3">
      <c r="A104" t="str">
        <f t="shared" si="57"/>
        <v>2021-08-02 10:44:00</v>
      </c>
      <c r="B104" t="str">
        <f t="shared" si="58"/>
        <v>Karni /Ibu</v>
      </c>
      <c r="C104">
        <f t="shared" si="59"/>
        <v>87822836176</v>
      </c>
      <c r="D104" t="str">
        <f t="shared" si="60"/>
        <v>Jawa Barat</v>
      </c>
      <c r="E104" t="str">
        <f t="shared" si="61"/>
        <v>Zardi</v>
      </c>
      <c r="F104" t="str">
        <f t="shared" si="62"/>
        <v>a</v>
      </c>
      <c r="G104" t="str">
        <f t="shared" si="63"/>
        <v>b</v>
      </c>
      <c r="H104" t="str">
        <f t="shared" si="64"/>
        <v>3m</v>
      </c>
      <c r="I104" t="str">
        <f t="shared" si="65"/>
        <v>Repair Request (Branch)</v>
      </c>
      <c r="J104" t="str">
        <f t="shared" si="66"/>
        <v>Washing M.Twin Tub Local</v>
      </c>
      <c r="K104" t="str">
        <f t="shared" si="67"/>
        <v>ES-T75NT-PK</v>
      </c>
      <c r="L104" t="str">
        <f t="shared" si="68"/>
        <v>Air selalu terbuang</v>
      </c>
      <c r="M104" t="str">
        <f t="shared" si="69"/>
        <v>202951496 3349512 ROBOT1</v>
      </c>
      <c r="N104" t="str">
        <f t="shared" si="70"/>
        <v>mg (Non Z2) Beli 10.7.2021</v>
      </c>
      <c r="Q104" s="5">
        <v>44410.447222222225</v>
      </c>
      <c r="R104" s="5" t="s">
        <v>53</v>
      </c>
      <c r="S104" s="5" t="s">
        <v>527</v>
      </c>
      <c r="T104" s="5">
        <v>87822836176</v>
      </c>
      <c r="U104" s="5" t="s">
        <v>19</v>
      </c>
      <c r="V104" s="5" t="s">
        <v>15</v>
      </c>
      <c r="W104" s="5" t="s">
        <v>32</v>
      </c>
      <c r="X104" s="5" t="s">
        <v>40</v>
      </c>
      <c r="Y104" s="5" t="s">
        <v>41</v>
      </c>
      <c r="Z104" s="5" t="s">
        <v>21</v>
      </c>
      <c r="AA104" s="5" t="s">
        <v>528</v>
      </c>
      <c r="AB104" s="5" t="s">
        <v>529</v>
      </c>
      <c r="AC104" s="5" t="s">
        <v>530</v>
      </c>
      <c r="AD104" s="5" t="s">
        <v>531</v>
      </c>
    </row>
    <row r="105" spans="1:30" x14ac:dyDescent="0.3">
      <c r="A105" t="str">
        <f t="shared" si="57"/>
        <v>2021-08-02 15:27:00</v>
      </c>
      <c r="B105" t="str">
        <f t="shared" si="58"/>
        <v>Tari /Ibu</v>
      </c>
      <c r="C105">
        <f t="shared" si="59"/>
        <v>85714006861</v>
      </c>
      <c r="D105" t="str">
        <f t="shared" si="60"/>
        <v>Banten</v>
      </c>
      <c r="E105" t="str">
        <f t="shared" si="61"/>
        <v>Zardi</v>
      </c>
      <c r="F105" t="str">
        <f t="shared" si="62"/>
        <v>a</v>
      </c>
      <c r="G105" t="str">
        <f t="shared" si="63"/>
        <v>a</v>
      </c>
      <c r="H105" t="str">
        <f t="shared" si="64"/>
        <v>3a</v>
      </c>
      <c r="I105" t="str">
        <f t="shared" si="65"/>
        <v>Repair/Notification Request</v>
      </c>
      <c r="J105" t="str">
        <f t="shared" si="66"/>
        <v>Room Air Con</v>
      </c>
      <c r="K105" t="str">
        <f t="shared" si="67"/>
        <v>AH-A5UCY</v>
      </c>
      <c r="L105" t="str">
        <f t="shared" si="68"/>
        <v>Error F0</v>
      </c>
      <c r="M105" t="str">
        <f t="shared" si="69"/>
        <v>202951891 3349702 ROBOT1</v>
      </c>
      <c r="N105" t="str">
        <f t="shared" si="70"/>
        <v>mg /beli 22.04.2021 via Sejuk Elekt /Tk dg Ibu Nabila 02122521535</v>
      </c>
      <c r="Q105" s="5">
        <v>44410.643750000003</v>
      </c>
      <c r="R105" s="5" t="s">
        <v>53</v>
      </c>
      <c r="S105" s="5" t="s">
        <v>532</v>
      </c>
      <c r="T105" s="5">
        <v>85714006861</v>
      </c>
      <c r="U105" s="5" t="s">
        <v>19</v>
      </c>
      <c r="V105" s="5" t="s">
        <v>19</v>
      </c>
      <c r="W105" s="5" t="s">
        <v>170</v>
      </c>
      <c r="X105" s="5" t="s">
        <v>16</v>
      </c>
      <c r="Y105" s="5" t="s">
        <v>17</v>
      </c>
      <c r="Z105" s="5" t="s">
        <v>20</v>
      </c>
      <c r="AA105" s="5" t="s">
        <v>61</v>
      </c>
      <c r="AB105" s="5" t="s">
        <v>533</v>
      </c>
      <c r="AC105" s="5" t="s">
        <v>534</v>
      </c>
      <c r="AD105" s="5" t="s">
        <v>535</v>
      </c>
    </row>
    <row r="106" spans="1:30" x14ac:dyDescent="0.3">
      <c r="A106" t="str">
        <f t="shared" si="57"/>
        <v>2021-08-03 12:34:00</v>
      </c>
      <c r="B106" t="str">
        <f t="shared" si="58"/>
        <v>Julia /Ibu (SDSS 11B7)</v>
      </c>
      <c r="C106">
        <f t="shared" si="59"/>
        <v>85929063438</v>
      </c>
      <c r="D106" t="str">
        <f t="shared" si="60"/>
        <v>Banten</v>
      </c>
      <c r="E106" t="str">
        <f t="shared" si="61"/>
        <v>Zardi</v>
      </c>
      <c r="F106" t="str">
        <f t="shared" si="62"/>
        <v>b</v>
      </c>
      <c r="G106" t="str">
        <f t="shared" si="63"/>
        <v>b</v>
      </c>
      <c r="H106" t="str">
        <f t="shared" si="64"/>
        <v>3a</v>
      </c>
      <c r="I106" t="str">
        <f t="shared" si="65"/>
        <v>Repair/Notification Request</v>
      </c>
      <c r="J106" t="str">
        <f t="shared" si="66"/>
        <v>Washing M.Auto</v>
      </c>
      <c r="K106" t="str">
        <f t="shared" si="67"/>
        <v>ES-F950P-GY</v>
      </c>
      <c r="L106" t="str">
        <f t="shared" si="68"/>
        <v>Bunyi kasar /berdecit</v>
      </c>
      <c r="M106" t="str">
        <f t="shared" si="69"/>
        <v>202952700 3350683 ROBOT1</v>
      </c>
      <c r="N106" t="str">
        <f t="shared" si="70"/>
        <v>mg (Non Z2)</v>
      </c>
      <c r="Q106" s="5">
        <v>44411.523611111108</v>
      </c>
      <c r="R106" s="5" t="s">
        <v>53</v>
      </c>
      <c r="S106" s="5" t="s">
        <v>536</v>
      </c>
      <c r="T106" s="5">
        <v>85929063438</v>
      </c>
      <c r="U106" s="5" t="s">
        <v>15</v>
      </c>
      <c r="V106" s="5" t="s">
        <v>15</v>
      </c>
      <c r="W106" s="5" t="s">
        <v>170</v>
      </c>
      <c r="X106" s="5" t="s">
        <v>16</v>
      </c>
      <c r="Y106" s="5" t="s">
        <v>17</v>
      </c>
      <c r="Z106" s="5" t="s">
        <v>45</v>
      </c>
      <c r="AA106" s="5" t="s">
        <v>54</v>
      </c>
      <c r="AB106" s="5" t="s">
        <v>537</v>
      </c>
      <c r="AC106" s="5" t="s">
        <v>538</v>
      </c>
      <c r="AD106" s="5" t="s">
        <v>81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Cuparsa Sastrawiguna</dc:creator>
  <cp:lastModifiedBy>Cuparsa Sastrawiguna</cp:lastModifiedBy>
  <dcterms:created xsi:type="dcterms:W3CDTF">2020-10-13T01:37:15Z</dcterms:created>
  <dcterms:modified xsi:type="dcterms:W3CDTF">2021-09-15T07:57:22Z</dcterms:modified>
</cp:coreProperties>
</file>