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9690" activeTab="2"/>
  </bookViews>
  <sheets>
    <sheet name="Pasted" sheetId="1" r:id="rId1"/>
    <sheet name="Agent List" sheetId="3" state="hidden" r:id="rId2"/>
    <sheet name="Upload" sheetId="4" r:id="rId3"/>
  </sheets>
  <calcPr calcId="144525"/>
</workbook>
</file>

<file path=xl/sharedStrings.xml><?xml version="1.0" encoding="utf-8"?>
<sst xmlns="http://schemas.openxmlformats.org/spreadsheetml/2006/main" count="681" uniqueCount="330">
  <si>
    <t>Agent Name</t>
  </si>
  <si>
    <t>Login ID</t>
  </si>
  <si>
    <t>Staffed Time</t>
  </si>
  <si>
    <t>AUX Time</t>
  </si>
  <si>
    <t>Time in Outgoing</t>
  </si>
  <si>
    <t>Time in Pray</t>
  </si>
  <si>
    <t>Time in Break</t>
  </si>
  <si>
    <t>Time in Istirahat</t>
  </si>
  <si>
    <t>Time in FU</t>
  </si>
  <si>
    <t>Time in Callback</t>
  </si>
  <si>
    <t>Time in Input Data</t>
  </si>
  <si>
    <t>Time in Back Office</t>
  </si>
  <si>
    <t>Time in Respon WA</t>
  </si>
  <si>
    <t>Time in Login</t>
  </si>
  <si>
    <t>Time in AUX 10-99</t>
  </si>
  <si>
    <t>DATE</t>
  </si>
  <si>
    <t>IS WEEKDAY</t>
  </si>
  <si>
    <t>Totals</t>
  </si>
  <si>
    <t xml:space="preserve"> </t>
  </si>
  <si>
    <t>:00:00</t>
  </si>
  <si>
    <t>Ihat</t>
  </si>
  <si>
    <t>:00:02</t>
  </si>
  <si>
    <t>:09:05</t>
  </si>
  <si>
    <t>:39:52</t>
  </si>
  <si>
    <t xml:space="preserve"> 8:05:59</t>
  </si>
  <si>
    <t>:00:05</t>
  </si>
  <si>
    <t xml:space="preserve"> 1:21:06</t>
  </si>
  <si>
    <t>Sinta</t>
  </si>
  <si>
    <t xml:space="preserve"> 9:39:59</t>
  </si>
  <si>
    <t>:35:57</t>
  </si>
  <si>
    <t>:06:05</t>
  </si>
  <si>
    <t>:39:46</t>
  </si>
  <si>
    <t xml:space="preserve"> 7:28:09</t>
  </si>
  <si>
    <t>:49:57</t>
  </si>
  <si>
    <t>Yunita</t>
  </si>
  <si>
    <t xml:space="preserve"> 9:39:45</t>
  </si>
  <si>
    <t>:48:33</t>
  </si>
  <si>
    <t xml:space="preserve"> 1:03:21</t>
  </si>
  <si>
    <t xml:space="preserve"> 2:32:31</t>
  </si>
  <si>
    <t xml:space="preserve"> 5:15:20</t>
  </si>
  <si>
    <t>Della</t>
  </si>
  <si>
    <t xml:space="preserve"> 9:27:40</t>
  </si>
  <si>
    <t>:34:12</t>
  </si>
  <si>
    <t>:06:26</t>
  </si>
  <si>
    <t>:40:34</t>
  </si>
  <si>
    <t xml:space="preserve"> 7:32:13</t>
  </si>
  <si>
    <t>:34:10</t>
  </si>
  <si>
    <t>Rayhan</t>
  </si>
  <si>
    <t xml:space="preserve"> 9:23:08</t>
  </si>
  <si>
    <t>:00:03</t>
  </si>
  <si>
    <t>:32:09</t>
  </si>
  <si>
    <t>:03:49</t>
  </si>
  <si>
    <t>:40:05</t>
  </si>
  <si>
    <t xml:space="preserve"> 7:37:51</t>
  </si>
  <si>
    <t>:29:11</t>
  </si>
  <si>
    <t>Mala</t>
  </si>
  <si>
    <t xml:space="preserve"> 9:12:34</t>
  </si>
  <si>
    <t>:02:52</t>
  </si>
  <si>
    <t>:29:38</t>
  </si>
  <si>
    <t>:40:16</t>
  </si>
  <si>
    <t xml:space="preserve"> 5:45:32</t>
  </si>
  <si>
    <t>:48:26</t>
  </si>
  <si>
    <t>:14:12</t>
  </si>
  <si>
    <t xml:space="preserve"> 1:11:38</t>
  </si>
  <si>
    <t>Erby</t>
  </si>
  <si>
    <t xml:space="preserve"> 9:10:57</t>
  </si>
  <si>
    <t>:34:16</t>
  </si>
  <si>
    <t>:08:36</t>
  </si>
  <si>
    <t>:39:45</t>
  </si>
  <si>
    <t xml:space="preserve"> 7:35:50</t>
  </si>
  <si>
    <t>:12:25</t>
  </si>
  <si>
    <t>Ibrahim</t>
  </si>
  <si>
    <t xml:space="preserve"> 9:40:28</t>
  </si>
  <si>
    <t xml:space="preserve"> 9:09:24</t>
  </si>
  <si>
    <t>:05:05</t>
  </si>
  <si>
    <t>:34:47</t>
  </si>
  <si>
    <t>:14:58</t>
  </si>
  <si>
    <t>:40:00</t>
  </si>
  <si>
    <t xml:space="preserve"> 6:50:40</t>
  </si>
  <si>
    <t>:02:22</t>
  </si>
  <si>
    <t>:41:32</t>
  </si>
  <si>
    <t>Fazriel</t>
  </si>
  <si>
    <t xml:space="preserve"> 8:00:30</t>
  </si>
  <si>
    <t>:20:33</t>
  </si>
  <si>
    <t>:30:15</t>
  </si>
  <si>
    <t>:03:41</t>
  </si>
  <si>
    <t>:41:03</t>
  </si>
  <si>
    <t>:24:52</t>
  </si>
  <si>
    <t xml:space="preserve"> 3:57:25</t>
  </si>
  <si>
    <t xml:space="preserve"> 1:49:03</t>
  </si>
  <si>
    <t>:00:07</t>
  </si>
  <si>
    <t>:13:31</t>
  </si>
  <si>
    <t>Subehan</t>
  </si>
  <si>
    <t xml:space="preserve"> 9:52:51</t>
  </si>
  <si>
    <t xml:space="preserve"> 7:52:30</t>
  </si>
  <si>
    <t>:29:40</t>
  </si>
  <si>
    <t>:31:49</t>
  </si>
  <si>
    <t>:19:06</t>
  </si>
  <si>
    <t>:37:04</t>
  </si>
  <si>
    <t xml:space="preserve"> 3:33:01</t>
  </si>
  <si>
    <t xml:space="preserve"> 1:29:00</t>
  </si>
  <si>
    <t>:52:50</t>
  </si>
  <si>
    <t>Firas</t>
  </si>
  <si>
    <t xml:space="preserve"> 9:54:01</t>
  </si>
  <si>
    <t xml:space="preserve"> 7:30:07</t>
  </si>
  <si>
    <t>:38:33</t>
  </si>
  <si>
    <t>:32:56</t>
  </si>
  <si>
    <t>:15:49</t>
  </si>
  <si>
    <t>:34:01</t>
  </si>
  <si>
    <t xml:space="preserve"> 2:03:50</t>
  </si>
  <si>
    <t xml:space="preserve"> 1:46:13</t>
  </si>
  <si>
    <t>:42:38</t>
  </si>
  <si>
    <t>:56:07</t>
  </si>
  <si>
    <t>Puji</t>
  </si>
  <si>
    <t xml:space="preserve"> 9:33:39</t>
  </si>
  <si>
    <t xml:space="preserve"> 7:18:05</t>
  </si>
  <si>
    <t xml:space="preserve"> 1:01:19</t>
  </si>
  <si>
    <t>:41:16</t>
  </si>
  <si>
    <t>:28:43</t>
  </si>
  <si>
    <t>:37:11</t>
  </si>
  <si>
    <t xml:space="preserve"> 3:46:39</t>
  </si>
  <si>
    <t>:42:57</t>
  </si>
  <si>
    <t>Wina</t>
  </si>
  <si>
    <t xml:space="preserve"> 9:44:11</t>
  </si>
  <si>
    <t xml:space="preserve"> 6:36:25</t>
  </si>
  <si>
    <t>:31:53</t>
  </si>
  <si>
    <t>:31:44</t>
  </si>
  <si>
    <t>:39:20</t>
  </si>
  <si>
    <t xml:space="preserve"> 1:20:50</t>
  </si>
  <si>
    <t xml:space="preserve"> 2:46:57</t>
  </si>
  <si>
    <t>:45:41</t>
  </si>
  <si>
    <t>Tiwi</t>
  </si>
  <si>
    <t xml:space="preserve"> 9:18:56</t>
  </si>
  <si>
    <t xml:space="preserve"> 6:06:35</t>
  </si>
  <si>
    <t xml:space="preserve"> 1:00:54</t>
  </si>
  <si>
    <t>:31:40</t>
  </si>
  <si>
    <t>:39:29</t>
  </si>
  <si>
    <t xml:space="preserve"> 2:21:16</t>
  </si>
  <si>
    <t xml:space="preserve"> 1:33:16</t>
  </si>
  <si>
    <t>Franscisco</t>
  </si>
  <si>
    <t xml:space="preserve"> 9:34:18</t>
  </si>
  <si>
    <t xml:space="preserve"> 6:04:39</t>
  </si>
  <si>
    <t xml:space="preserve"> 1:17:03</t>
  </si>
  <si>
    <t>:14:24</t>
  </si>
  <si>
    <t>:36:04</t>
  </si>
  <si>
    <t>:32:58</t>
  </si>
  <si>
    <t xml:space="preserve"> 3:24:10</t>
  </si>
  <si>
    <t>Rut</t>
  </si>
  <si>
    <t xml:space="preserve"> 9:38:38</t>
  </si>
  <si>
    <t xml:space="preserve"> 5:57:47</t>
  </si>
  <si>
    <t>:14:56</t>
  </si>
  <si>
    <t>:30:36</t>
  </si>
  <si>
    <t>:40:13</t>
  </si>
  <si>
    <t>:41:02</t>
  </si>
  <si>
    <t xml:space="preserve"> 1:43:37</t>
  </si>
  <si>
    <t xml:space="preserve"> 1:27:16</t>
  </si>
  <si>
    <t>:40:07</t>
  </si>
  <si>
    <t xml:space="preserve"> 9:34:39</t>
  </si>
  <si>
    <t xml:space="preserve"> 5:55:11</t>
  </si>
  <si>
    <t xml:space="preserve"> 1:02:34</t>
  </si>
  <si>
    <t>:26:38</t>
  </si>
  <si>
    <t>:47:49</t>
  </si>
  <si>
    <t>:40:09</t>
  </si>
  <si>
    <t>:09:54</t>
  </si>
  <si>
    <t xml:space="preserve"> 2:48:07</t>
  </si>
  <si>
    <t>Intan</t>
  </si>
  <si>
    <t xml:space="preserve"> 5:42:52</t>
  </si>
  <si>
    <t>:10:37</t>
  </si>
  <si>
    <t>:39:59</t>
  </si>
  <si>
    <t>:01:41</t>
  </si>
  <si>
    <t>:52:59</t>
  </si>
  <si>
    <t xml:space="preserve"> 2:15:13</t>
  </si>
  <si>
    <t xml:space="preserve"> 1:32:23</t>
  </si>
  <si>
    <t>:10:00</t>
  </si>
  <si>
    <t>Fahmi</t>
  </si>
  <si>
    <t xml:space="preserve"> 9:15:32</t>
  </si>
  <si>
    <t xml:space="preserve"> 5:24:21</t>
  </si>
  <si>
    <t>:15:43</t>
  </si>
  <si>
    <t>:37:27</t>
  </si>
  <si>
    <t>:04:25</t>
  </si>
  <si>
    <t>:36:14</t>
  </si>
  <si>
    <t>:08:02</t>
  </si>
  <si>
    <t xml:space="preserve"> 3:24:55</t>
  </si>
  <si>
    <t>:17:35</t>
  </si>
  <si>
    <t>Ayunda</t>
  </si>
  <si>
    <t xml:space="preserve"> 9:20:58</t>
  </si>
  <si>
    <t xml:space="preserve"> 5:20:27</t>
  </si>
  <si>
    <t>:21:31</t>
  </si>
  <si>
    <t>:24:41</t>
  </si>
  <si>
    <t>:44:13</t>
  </si>
  <si>
    <t>:39:36</t>
  </si>
  <si>
    <t>:54:28</t>
  </si>
  <si>
    <t xml:space="preserve"> 1:37:24</t>
  </si>
  <si>
    <t>:38:34</t>
  </si>
  <si>
    <t>Aguss</t>
  </si>
  <si>
    <t xml:space="preserve"> 9:58:22</t>
  </si>
  <si>
    <t xml:space="preserve"> 5:16:24</t>
  </si>
  <si>
    <t>:50:44</t>
  </si>
  <si>
    <t>:15:06</t>
  </si>
  <si>
    <t>:21:12</t>
  </si>
  <si>
    <t>:33:37</t>
  </si>
  <si>
    <t xml:space="preserve"> 2:18:21</t>
  </si>
  <si>
    <t>:57:24</t>
  </si>
  <si>
    <t>Glorika</t>
  </si>
  <si>
    <t xml:space="preserve"> 9:28:26</t>
  </si>
  <si>
    <t xml:space="preserve"> 5:15:40</t>
  </si>
  <si>
    <t>:54:12</t>
  </si>
  <si>
    <t>:37:07</t>
  </si>
  <si>
    <t xml:space="preserve"> 3:04:42</t>
  </si>
  <si>
    <t>:29:39</t>
  </si>
  <si>
    <t>Dina</t>
  </si>
  <si>
    <t xml:space="preserve"> 9:46:02</t>
  </si>
  <si>
    <t xml:space="preserve"> 4:54:00</t>
  </si>
  <si>
    <t>:35:52</t>
  </si>
  <si>
    <t>:57:22</t>
  </si>
  <si>
    <t>:36:01</t>
  </si>
  <si>
    <t xml:space="preserve"> 2:06:22</t>
  </si>
  <si>
    <t>:38:23</t>
  </si>
  <si>
    <t>Rina</t>
  </si>
  <si>
    <t xml:space="preserve"> 4:50:03</t>
  </si>
  <si>
    <t>:06:03</t>
  </si>
  <si>
    <t>:13:22</t>
  </si>
  <si>
    <t>:37:52</t>
  </si>
  <si>
    <t>:17:44</t>
  </si>
  <si>
    <t xml:space="preserve"> 3:30:22</t>
  </si>
  <si>
    <t>:04:40</t>
  </si>
  <si>
    <t>Arti</t>
  </si>
  <si>
    <t xml:space="preserve"> 8:59:59</t>
  </si>
  <si>
    <t xml:space="preserve"> 4:48:36</t>
  </si>
  <si>
    <t>:33:35</t>
  </si>
  <si>
    <t>:09:13</t>
  </si>
  <si>
    <t>:38:17</t>
  </si>
  <si>
    <t>:40:31</t>
  </si>
  <si>
    <t>:19:44</t>
  </si>
  <si>
    <t xml:space="preserve"> 1:05:58</t>
  </si>
  <si>
    <t xml:space="preserve"> 1:10:44</t>
  </si>
  <si>
    <t>:10:34</t>
  </si>
  <si>
    <t>Rahma</t>
  </si>
  <si>
    <t xml:space="preserve"> 9:55:12</t>
  </si>
  <si>
    <t xml:space="preserve"> 4:41:22</t>
  </si>
  <si>
    <t>:33:18</t>
  </si>
  <si>
    <t>:42:50</t>
  </si>
  <si>
    <t>:25:38</t>
  </si>
  <si>
    <t>:39:37</t>
  </si>
  <si>
    <t>:14:51</t>
  </si>
  <si>
    <t>:44:22</t>
  </si>
  <si>
    <t>:26:21</t>
  </si>
  <si>
    <t>:54:25</t>
  </si>
  <si>
    <t>Malik</t>
  </si>
  <si>
    <t xml:space="preserve"> 4:40:51</t>
  </si>
  <si>
    <t>:23:38</t>
  </si>
  <si>
    <t>:32:01</t>
  </si>
  <si>
    <t>:38:27</t>
  </si>
  <si>
    <t xml:space="preserve"> 2:29:34</t>
  </si>
  <si>
    <t>Tegar</t>
  </si>
  <si>
    <t xml:space="preserve"> 9:53:51</t>
  </si>
  <si>
    <t xml:space="preserve"> 4:33:49</t>
  </si>
  <si>
    <t>:38:51</t>
  </si>
  <si>
    <t>:21:29</t>
  </si>
  <si>
    <t>:26:57</t>
  </si>
  <si>
    <t>:43:12</t>
  </si>
  <si>
    <t xml:space="preserve"> 1:28:56</t>
  </si>
  <si>
    <t>:02:30</t>
  </si>
  <si>
    <t>:51:54</t>
  </si>
  <si>
    <t>Grace</t>
  </si>
  <si>
    <t xml:space="preserve"> 9:22:57</t>
  </si>
  <si>
    <t xml:space="preserve"> 3:49:05</t>
  </si>
  <si>
    <t xml:space="preserve"> 1:22:29</t>
  </si>
  <si>
    <t>:26:37</t>
  </si>
  <si>
    <t>:01:18</t>
  </si>
  <si>
    <t xml:space="preserve"> 1:00:47</t>
  </si>
  <si>
    <t>:02:50</t>
  </si>
  <si>
    <t>:15:35</t>
  </si>
  <si>
    <t>Augita</t>
  </si>
  <si>
    <t xml:space="preserve"> 6:25:02</t>
  </si>
  <si>
    <t xml:space="preserve"> 3:47:08</t>
  </si>
  <si>
    <t>:10:20</t>
  </si>
  <si>
    <t>:06:58</t>
  </si>
  <si>
    <t>:09:46</t>
  </si>
  <si>
    <t xml:space="preserve"> 1:43:46</t>
  </si>
  <si>
    <t>:01:10</t>
  </si>
  <si>
    <t>:55:08</t>
  </si>
  <si>
    <t>Zardi</t>
  </si>
  <si>
    <t xml:space="preserve"> 3:42:23</t>
  </si>
  <si>
    <t>:57:41</t>
  </si>
  <si>
    <t>:44:09</t>
  </si>
  <si>
    <t>:09:07</t>
  </si>
  <si>
    <t>:40:27</t>
  </si>
  <si>
    <t>:01:17</t>
  </si>
  <si>
    <t>:08:01</t>
  </si>
  <si>
    <t xml:space="preserve"> 1:00:31</t>
  </si>
  <si>
    <t>Aliyah</t>
  </si>
  <si>
    <t xml:space="preserve"> 6:12:59</t>
  </si>
  <si>
    <t xml:space="preserve"> 3:02:33</t>
  </si>
  <si>
    <t>:06:55</t>
  </si>
  <si>
    <t>:22:44</t>
  </si>
  <si>
    <t>:39:16</t>
  </si>
  <si>
    <t>:02:13</t>
  </si>
  <si>
    <t>:52:18</t>
  </si>
  <si>
    <t>:00:52</t>
  </si>
  <si>
    <t>:42:40</t>
  </si>
  <si>
    <t>Aliahmad</t>
  </si>
  <si>
    <t xml:space="preserve"> 1:23:14</t>
  </si>
  <si>
    <t>:00:09</t>
  </si>
  <si>
    <t>:40:04</t>
  </si>
  <si>
    <t>:43:01</t>
  </si>
  <si>
    <t>Nina</t>
  </si>
  <si>
    <t>Logsheet ID</t>
  </si>
  <si>
    <t>CMS Name</t>
  </si>
  <si>
    <t>Extension</t>
  </si>
  <si>
    <t>Agam</t>
  </si>
  <si>
    <t>Date</t>
  </si>
  <si>
    <t>Agent</t>
  </si>
  <si>
    <t>CMS name</t>
  </si>
  <si>
    <t>Ext</t>
  </si>
  <si>
    <t>Staffed_time</t>
  </si>
  <si>
    <t>AUX_0</t>
  </si>
  <si>
    <t>AUX_1</t>
  </si>
  <si>
    <t>AUX_2</t>
  </si>
  <si>
    <t>AUX_3</t>
  </si>
  <si>
    <t>AUX_4</t>
  </si>
  <si>
    <t>AUX_5</t>
  </si>
  <si>
    <t>AUX_6</t>
  </si>
  <si>
    <t>AUX_7</t>
  </si>
  <si>
    <t>AUX_8</t>
  </si>
  <si>
    <t>AUX_9</t>
  </si>
  <si>
    <t>AUX_1099</t>
  </si>
  <si>
    <t>Remark</t>
  </si>
  <si>
    <t>IS_OH</t>
  </si>
  <si>
    <t>Tes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</si>
</sst>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5" fontId="0" fillId="0" borderId="0" xfId="0" applyNumberFormat="1" applyAlignment="1">
      <alignment horizontal="left"/>
    </xf>
    <xf numFmtId="46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AI36"/>
  <sheetViews>
    <sheetView topLeftCell="A3" workbookViewId="0">
      <selection activeCell="A19" sqref="A19"/>
    </sheetView>
  </sheetViews>
  <sheetFormatPr defaultColWidth="9" defaultRowHeight="15"/>
  <cols>
    <col min="31" max="33" width="1.75" style="4" customWidth="1"/>
    <col min="34" max="34" width="9" style="5"/>
    <col min="35" max="35" width="11.125" style="5" customWidth="1"/>
  </cols>
  <sheetData>
    <row r="1" spans="1:35">
      <c r="A1" s="6" t="s">
        <v>0</v>
      </c>
      <c r="B1" s="6" t="s">
        <v>1</v>
      </c>
      <c r="C1" s="6" t="s">
        <v>2</v>
      </c>
      <c r="D1" s="6"/>
      <c r="E1" s="6" t="s">
        <v>3</v>
      </c>
      <c r="F1" s="6"/>
      <c r="G1" s="6" t="s">
        <v>4</v>
      </c>
      <c r="H1" s="6"/>
      <c r="I1" s="6" t="s">
        <v>5</v>
      </c>
      <c r="J1" s="6"/>
      <c r="K1" s="6" t="s">
        <v>6</v>
      </c>
      <c r="L1" s="6"/>
      <c r="M1" s="6" t="s">
        <v>7</v>
      </c>
      <c r="N1" s="6"/>
      <c r="O1" s="6" t="s">
        <v>8</v>
      </c>
      <c r="P1" s="6"/>
      <c r="Q1" s="6" t="s">
        <v>9</v>
      </c>
      <c r="R1" s="6"/>
      <c r="S1" s="6" t="s">
        <v>10</v>
      </c>
      <c r="T1" s="6"/>
      <c r="U1" s="6" t="s">
        <v>11</v>
      </c>
      <c r="V1" s="6"/>
      <c r="W1" s="6" t="s">
        <v>12</v>
      </c>
      <c r="X1" s="6"/>
      <c r="Y1" s="6" t="s">
        <v>13</v>
      </c>
      <c r="Z1" s="6"/>
      <c r="AA1" s="6" t="s">
        <v>14</v>
      </c>
      <c r="AB1" s="6"/>
      <c r="AC1" s="6"/>
      <c r="AD1" s="6"/>
      <c r="AH1" s="5" t="s">
        <v>15</v>
      </c>
      <c r="AI1" s="5" t="s">
        <v>16</v>
      </c>
    </row>
    <row r="2" spans="1:35">
      <c r="A2" s="6" t="s">
        <v>17</v>
      </c>
      <c r="B2" s="6" t="s">
        <v>17</v>
      </c>
      <c r="C2" s="6" t="s">
        <v>18</v>
      </c>
      <c r="D2" s="6" t="s">
        <v>18</v>
      </c>
      <c r="E2" s="6">
        <v>1110413</v>
      </c>
      <c r="F2" s="8">
        <v>12.8520023148148</v>
      </c>
      <c r="G2" s="6">
        <v>750862</v>
      </c>
      <c r="H2" s="8">
        <v>8.69053240740741</v>
      </c>
      <c r="I2" s="6">
        <v>56162</v>
      </c>
      <c r="J2" s="7">
        <v>0.650023148148148</v>
      </c>
      <c r="K2" s="6">
        <v>43445</v>
      </c>
      <c r="L2" s="7">
        <v>0.502835648148148</v>
      </c>
      <c r="M2" s="6">
        <v>36234</v>
      </c>
      <c r="N2" s="7">
        <v>0.419375</v>
      </c>
      <c r="O2" s="6">
        <v>75561</v>
      </c>
      <c r="P2" s="7">
        <v>0.874548611111111</v>
      </c>
      <c r="Q2" s="6">
        <v>194017</v>
      </c>
      <c r="R2" s="8">
        <v>2.24556712962963</v>
      </c>
      <c r="S2" s="6">
        <v>76721</v>
      </c>
      <c r="T2" s="7">
        <v>0.887974537037037</v>
      </c>
      <c r="U2" s="6">
        <v>166570</v>
      </c>
      <c r="V2" s="8">
        <v>1.92789351851852</v>
      </c>
      <c r="W2" s="6">
        <v>0</v>
      </c>
      <c r="X2" s="6" t="s">
        <v>19</v>
      </c>
      <c r="Y2" s="6">
        <v>38654</v>
      </c>
      <c r="Z2" s="7">
        <v>0.447384259259259</v>
      </c>
      <c r="AA2" s="6">
        <v>63498</v>
      </c>
      <c r="AB2" s="7">
        <v>0.734930555555556</v>
      </c>
      <c r="AC2" s="6">
        <v>0</v>
      </c>
      <c r="AD2" s="6" t="s">
        <v>19</v>
      </c>
      <c r="AH2" s="9">
        <v>46154</v>
      </c>
      <c r="AI2" s="5">
        <v>1</v>
      </c>
    </row>
    <row r="3" spans="1:35">
      <c r="A3" s="6" t="s">
        <v>20</v>
      </c>
      <c r="B3" s="6">
        <v>1655</v>
      </c>
      <c r="C3" s="6">
        <v>36969</v>
      </c>
      <c r="D3" s="7">
        <v>0.427881944444444</v>
      </c>
      <c r="E3" s="6">
        <v>36969</v>
      </c>
      <c r="F3" s="7">
        <v>0.427881944444444</v>
      </c>
      <c r="G3" s="6">
        <v>2</v>
      </c>
      <c r="H3" s="6" t="s">
        <v>21</v>
      </c>
      <c r="I3" s="6">
        <v>0</v>
      </c>
      <c r="J3" s="6" t="s">
        <v>19</v>
      </c>
      <c r="K3" s="6">
        <v>545</v>
      </c>
      <c r="L3" s="6" t="s">
        <v>22</v>
      </c>
      <c r="M3" s="6">
        <v>2392</v>
      </c>
      <c r="N3" s="6" t="s">
        <v>23</v>
      </c>
      <c r="O3" s="6">
        <v>29159</v>
      </c>
      <c r="P3" s="6" t="s">
        <v>24</v>
      </c>
      <c r="Q3" s="6">
        <v>0</v>
      </c>
      <c r="R3" s="6" t="s">
        <v>19</v>
      </c>
      <c r="S3" s="6">
        <v>5</v>
      </c>
      <c r="T3" s="6" t="s">
        <v>25</v>
      </c>
      <c r="U3" s="6">
        <v>0</v>
      </c>
      <c r="V3" s="6" t="s">
        <v>19</v>
      </c>
      <c r="W3" s="6">
        <v>0</v>
      </c>
      <c r="X3" s="6" t="s">
        <v>19</v>
      </c>
      <c r="Y3" s="6">
        <v>4866</v>
      </c>
      <c r="Z3" s="6" t="s">
        <v>26</v>
      </c>
      <c r="AA3" s="6">
        <v>0</v>
      </c>
      <c r="AB3" s="6" t="s">
        <v>19</v>
      </c>
      <c r="AC3" s="6">
        <v>32</v>
      </c>
      <c r="AD3" s="6">
        <v>36969</v>
      </c>
      <c r="AH3" s="9">
        <v>46154</v>
      </c>
      <c r="AI3" s="5">
        <v>1</v>
      </c>
    </row>
    <row r="4" spans="1:35">
      <c r="A4" s="6" t="s">
        <v>27</v>
      </c>
      <c r="B4" s="6">
        <v>1657</v>
      </c>
      <c r="C4" s="6">
        <v>34799</v>
      </c>
      <c r="D4" s="6" t="s">
        <v>28</v>
      </c>
      <c r="E4" s="6">
        <v>34799</v>
      </c>
      <c r="F4" s="6" t="s">
        <v>28</v>
      </c>
      <c r="G4" s="6">
        <v>5</v>
      </c>
      <c r="H4" s="6" t="s">
        <v>25</v>
      </c>
      <c r="I4" s="6">
        <v>2157</v>
      </c>
      <c r="J4" s="6" t="s">
        <v>29</v>
      </c>
      <c r="K4" s="6">
        <v>365</v>
      </c>
      <c r="L4" s="6" t="s">
        <v>30</v>
      </c>
      <c r="M4" s="6">
        <v>2386</v>
      </c>
      <c r="N4" s="6" t="s">
        <v>31</v>
      </c>
      <c r="O4" s="6">
        <v>26889</v>
      </c>
      <c r="P4" s="6" t="s">
        <v>32</v>
      </c>
      <c r="Q4" s="6">
        <v>0</v>
      </c>
      <c r="R4" s="6" t="s">
        <v>19</v>
      </c>
      <c r="S4" s="6">
        <v>0</v>
      </c>
      <c r="T4" s="6" t="s">
        <v>19</v>
      </c>
      <c r="U4" s="6">
        <v>0</v>
      </c>
      <c r="V4" s="6" t="s">
        <v>19</v>
      </c>
      <c r="W4" s="6">
        <v>0</v>
      </c>
      <c r="X4" s="6" t="s">
        <v>19</v>
      </c>
      <c r="Y4" s="6">
        <v>2997</v>
      </c>
      <c r="Z4" s="6" t="s">
        <v>33</v>
      </c>
      <c r="AA4" s="6">
        <v>0</v>
      </c>
      <c r="AB4" s="6" t="s">
        <v>19</v>
      </c>
      <c r="AC4" s="6">
        <v>34</v>
      </c>
      <c r="AD4" s="6">
        <v>34799</v>
      </c>
      <c r="AH4" s="9">
        <v>46154</v>
      </c>
      <c r="AI4" s="5">
        <v>1</v>
      </c>
    </row>
    <row r="5" spans="1:35">
      <c r="A5" s="6" t="s">
        <v>34</v>
      </c>
      <c r="B5" s="6">
        <v>1615</v>
      </c>
      <c r="C5" s="6">
        <v>34785</v>
      </c>
      <c r="D5" s="6" t="s">
        <v>35</v>
      </c>
      <c r="E5" s="6">
        <v>34785</v>
      </c>
      <c r="F5" s="6" t="s">
        <v>35</v>
      </c>
      <c r="G5" s="6">
        <v>2913</v>
      </c>
      <c r="H5" s="6" t="s">
        <v>36</v>
      </c>
      <c r="I5" s="6">
        <v>3801</v>
      </c>
      <c r="J5" s="6" t="s">
        <v>37</v>
      </c>
      <c r="K5" s="6">
        <v>0</v>
      </c>
      <c r="L5" s="6" t="s">
        <v>19</v>
      </c>
      <c r="M5" s="6">
        <v>0</v>
      </c>
      <c r="N5" s="6" t="s">
        <v>19</v>
      </c>
      <c r="O5" s="6">
        <v>9151</v>
      </c>
      <c r="P5" s="6" t="s">
        <v>38</v>
      </c>
      <c r="Q5" s="6">
        <v>0</v>
      </c>
      <c r="R5" s="6" t="s">
        <v>19</v>
      </c>
      <c r="S5" s="6">
        <v>0</v>
      </c>
      <c r="T5" s="6" t="s">
        <v>19</v>
      </c>
      <c r="U5" s="6">
        <v>0</v>
      </c>
      <c r="V5" s="6" t="s">
        <v>19</v>
      </c>
      <c r="W5" s="6">
        <v>18920</v>
      </c>
      <c r="X5" s="6" t="s">
        <v>39</v>
      </c>
      <c r="Y5" s="6">
        <v>0</v>
      </c>
      <c r="Z5" s="6" t="s">
        <v>19</v>
      </c>
      <c r="AA5" s="6">
        <v>0</v>
      </c>
      <c r="AB5" s="6" t="s">
        <v>19</v>
      </c>
      <c r="AC5" s="6">
        <v>1</v>
      </c>
      <c r="AD5" s="6">
        <v>34785</v>
      </c>
      <c r="AH5" s="9">
        <v>46154</v>
      </c>
      <c r="AI5" s="5">
        <v>1</v>
      </c>
    </row>
    <row r="6" spans="1:35">
      <c r="A6" s="6" t="s">
        <v>40</v>
      </c>
      <c r="B6" s="6">
        <v>1654</v>
      </c>
      <c r="C6" s="6">
        <v>34060</v>
      </c>
      <c r="D6" s="6" t="s">
        <v>41</v>
      </c>
      <c r="E6" s="6">
        <v>34060</v>
      </c>
      <c r="F6" s="6" t="s">
        <v>41</v>
      </c>
      <c r="G6" s="6">
        <v>5</v>
      </c>
      <c r="H6" s="6" t="s">
        <v>25</v>
      </c>
      <c r="I6" s="6">
        <v>2052</v>
      </c>
      <c r="J6" s="6" t="s">
        <v>42</v>
      </c>
      <c r="K6" s="6">
        <v>386</v>
      </c>
      <c r="L6" s="6" t="s">
        <v>43</v>
      </c>
      <c r="M6" s="6">
        <v>2434</v>
      </c>
      <c r="N6" s="6" t="s">
        <v>44</v>
      </c>
      <c r="O6" s="6">
        <v>27133</v>
      </c>
      <c r="P6" s="6" t="s">
        <v>45</v>
      </c>
      <c r="Q6" s="6">
        <v>0</v>
      </c>
      <c r="R6" s="6" t="s">
        <v>19</v>
      </c>
      <c r="S6" s="6">
        <v>0</v>
      </c>
      <c r="T6" s="6" t="s">
        <v>19</v>
      </c>
      <c r="U6" s="6">
        <v>0</v>
      </c>
      <c r="V6" s="6" t="s">
        <v>19</v>
      </c>
      <c r="W6" s="6">
        <v>0</v>
      </c>
      <c r="X6" s="6" t="s">
        <v>19</v>
      </c>
      <c r="Y6" s="6">
        <v>2050</v>
      </c>
      <c r="Z6" s="6" t="s">
        <v>46</v>
      </c>
      <c r="AA6" s="6">
        <v>0</v>
      </c>
      <c r="AB6" s="6" t="s">
        <v>19</v>
      </c>
      <c r="AC6" s="6">
        <v>31</v>
      </c>
      <c r="AD6" s="6">
        <v>34060</v>
      </c>
      <c r="AH6" s="9">
        <v>46154</v>
      </c>
      <c r="AI6" s="5">
        <v>1</v>
      </c>
    </row>
    <row r="7" spans="1:35">
      <c r="A7" s="6" t="s">
        <v>47</v>
      </c>
      <c r="B7" s="6">
        <v>1656</v>
      </c>
      <c r="C7" s="6">
        <v>33788</v>
      </c>
      <c r="D7" s="6" t="s">
        <v>48</v>
      </c>
      <c r="E7" s="6">
        <v>33788</v>
      </c>
      <c r="F7" s="6" t="s">
        <v>48</v>
      </c>
      <c r="G7" s="6">
        <v>3</v>
      </c>
      <c r="H7" s="6" t="s">
        <v>49</v>
      </c>
      <c r="I7" s="6">
        <v>1929</v>
      </c>
      <c r="J7" s="6" t="s">
        <v>50</v>
      </c>
      <c r="K7" s="6">
        <v>229</v>
      </c>
      <c r="L7" s="6" t="s">
        <v>51</v>
      </c>
      <c r="M7" s="6">
        <v>2405</v>
      </c>
      <c r="N7" s="6" t="s">
        <v>52</v>
      </c>
      <c r="O7" s="6">
        <v>27471</v>
      </c>
      <c r="P7" s="6" t="s">
        <v>53</v>
      </c>
      <c r="Q7" s="6">
        <v>0</v>
      </c>
      <c r="R7" s="6" t="s">
        <v>19</v>
      </c>
      <c r="S7" s="6">
        <v>0</v>
      </c>
      <c r="T7" s="6" t="s">
        <v>19</v>
      </c>
      <c r="U7" s="6">
        <v>0</v>
      </c>
      <c r="V7" s="6" t="s">
        <v>19</v>
      </c>
      <c r="W7" s="6">
        <v>0</v>
      </c>
      <c r="X7" s="6" t="s">
        <v>19</v>
      </c>
      <c r="Y7" s="6">
        <v>1751</v>
      </c>
      <c r="Z7" s="6" t="s">
        <v>54</v>
      </c>
      <c r="AA7" s="6">
        <v>0</v>
      </c>
      <c r="AB7" s="6" t="s">
        <v>19</v>
      </c>
      <c r="AC7" s="6">
        <v>33</v>
      </c>
      <c r="AD7" s="6">
        <v>33788</v>
      </c>
      <c r="AH7" s="9">
        <v>46154</v>
      </c>
      <c r="AI7" s="5">
        <v>1</v>
      </c>
    </row>
    <row r="8" spans="1:35">
      <c r="A8" s="6" t="s">
        <v>55</v>
      </c>
      <c r="B8" s="6">
        <v>1640</v>
      </c>
      <c r="C8" s="6">
        <v>36588</v>
      </c>
      <c r="D8" s="7">
        <v>0.423472222222222</v>
      </c>
      <c r="E8" s="6">
        <v>33154</v>
      </c>
      <c r="F8" s="6" t="s">
        <v>56</v>
      </c>
      <c r="G8" s="6">
        <v>172</v>
      </c>
      <c r="H8" s="6" t="s">
        <v>57</v>
      </c>
      <c r="I8" s="6">
        <v>0</v>
      </c>
      <c r="J8" s="6" t="s">
        <v>19</v>
      </c>
      <c r="K8" s="6">
        <v>1778</v>
      </c>
      <c r="L8" s="6" t="s">
        <v>58</v>
      </c>
      <c r="M8" s="6">
        <v>2416</v>
      </c>
      <c r="N8" s="6" t="s">
        <v>59</v>
      </c>
      <c r="O8" s="6">
        <v>20732</v>
      </c>
      <c r="P8" s="6" t="s">
        <v>60</v>
      </c>
      <c r="Q8" s="6">
        <v>2906</v>
      </c>
      <c r="R8" s="6" t="s">
        <v>61</v>
      </c>
      <c r="S8" s="6">
        <v>852</v>
      </c>
      <c r="T8" s="6" t="s">
        <v>62</v>
      </c>
      <c r="U8" s="6">
        <v>0</v>
      </c>
      <c r="V8" s="6" t="s">
        <v>19</v>
      </c>
      <c r="W8" s="6">
        <v>0</v>
      </c>
      <c r="X8" s="6" t="s">
        <v>19</v>
      </c>
      <c r="Y8" s="6">
        <v>4298</v>
      </c>
      <c r="Z8" s="6" t="s">
        <v>63</v>
      </c>
      <c r="AA8" s="6">
        <v>0</v>
      </c>
      <c r="AB8" s="6" t="s">
        <v>19</v>
      </c>
      <c r="AC8" s="6">
        <v>21</v>
      </c>
      <c r="AD8" s="6">
        <v>33154</v>
      </c>
      <c r="AH8" s="9">
        <v>46154</v>
      </c>
      <c r="AI8" s="5">
        <v>1</v>
      </c>
    </row>
    <row r="9" spans="1:35">
      <c r="A9" s="6" t="s">
        <v>64</v>
      </c>
      <c r="B9" s="6">
        <v>1617</v>
      </c>
      <c r="C9" s="6">
        <v>33057</v>
      </c>
      <c r="D9" s="6" t="s">
        <v>65</v>
      </c>
      <c r="E9" s="6">
        <v>33057</v>
      </c>
      <c r="F9" s="6" t="s">
        <v>65</v>
      </c>
      <c r="G9" s="6">
        <v>5</v>
      </c>
      <c r="H9" s="6" t="s">
        <v>25</v>
      </c>
      <c r="I9" s="6">
        <v>2056</v>
      </c>
      <c r="J9" s="6" t="s">
        <v>66</v>
      </c>
      <c r="K9" s="6">
        <v>516</v>
      </c>
      <c r="L9" s="6" t="s">
        <v>67</v>
      </c>
      <c r="M9" s="6">
        <v>2385</v>
      </c>
      <c r="N9" s="6" t="s">
        <v>68</v>
      </c>
      <c r="O9" s="6">
        <v>27350</v>
      </c>
      <c r="P9" s="6" t="s">
        <v>69</v>
      </c>
      <c r="Q9" s="6">
        <v>0</v>
      </c>
      <c r="R9" s="6" t="s">
        <v>19</v>
      </c>
      <c r="S9" s="6">
        <v>0</v>
      </c>
      <c r="T9" s="6" t="s">
        <v>19</v>
      </c>
      <c r="U9" s="6">
        <v>0</v>
      </c>
      <c r="V9" s="6" t="s">
        <v>19</v>
      </c>
      <c r="W9" s="6">
        <v>0</v>
      </c>
      <c r="X9" s="6" t="s">
        <v>19</v>
      </c>
      <c r="Y9" s="6">
        <v>745</v>
      </c>
      <c r="Z9" s="6" t="s">
        <v>70</v>
      </c>
      <c r="AA9" s="6">
        <v>0</v>
      </c>
      <c r="AB9" s="6" t="s">
        <v>19</v>
      </c>
      <c r="AC9" s="6">
        <v>3</v>
      </c>
      <c r="AD9" s="6">
        <v>33057</v>
      </c>
      <c r="AH9" s="9">
        <v>46154</v>
      </c>
      <c r="AI9" s="5">
        <v>1</v>
      </c>
    </row>
    <row r="10" spans="1:35">
      <c r="A10" s="6" t="s">
        <v>71</v>
      </c>
      <c r="B10" s="6">
        <v>1620</v>
      </c>
      <c r="C10" s="6">
        <v>34828</v>
      </c>
      <c r="D10" s="6" t="s">
        <v>72</v>
      </c>
      <c r="E10" s="6">
        <v>32964</v>
      </c>
      <c r="F10" s="6" t="s">
        <v>73</v>
      </c>
      <c r="G10" s="6">
        <v>305</v>
      </c>
      <c r="H10" s="6" t="s">
        <v>74</v>
      </c>
      <c r="I10" s="6">
        <v>2087</v>
      </c>
      <c r="J10" s="6" t="s">
        <v>75</v>
      </c>
      <c r="K10" s="6">
        <v>898</v>
      </c>
      <c r="L10" s="6" t="s">
        <v>76</v>
      </c>
      <c r="M10" s="6">
        <v>2400</v>
      </c>
      <c r="N10" s="6" t="s">
        <v>77</v>
      </c>
      <c r="O10" s="6">
        <v>24640</v>
      </c>
      <c r="P10" s="6" t="s">
        <v>78</v>
      </c>
      <c r="Q10" s="6">
        <v>0</v>
      </c>
      <c r="R10" s="6" t="s">
        <v>19</v>
      </c>
      <c r="S10" s="6">
        <v>142</v>
      </c>
      <c r="T10" s="6" t="s">
        <v>79</v>
      </c>
      <c r="U10" s="6">
        <v>0</v>
      </c>
      <c r="V10" s="6" t="s">
        <v>19</v>
      </c>
      <c r="W10" s="6">
        <v>0</v>
      </c>
      <c r="X10" s="6" t="s">
        <v>19</v>
      </c>
      <c r="Y10" s="6">
        <v>2492</v>
      </c>
      <c r="Z10" s="6" t="s">
        <v>80</v>
      </c>
      <c r="AA10" s="6">
        <v>0</v>
      </c>
      <c r="AB10" s="6" t="s">
        <v>19</v>
      </c>
      <c r="AC10" s="6">
        <v>4</v>
      </c>
      <c r="AD10" s="6">
        <v>32964</v>
      </c>
      <c r="AH10" s="9">
        <v>46154</v>
      </c>
      <c r="AI10" s="5">
        <v>1</v>
      </c>
    </row>
    <row r="11" spans="1:35">
      <c r="A11" s="6" t="s">
        <v>81</v>
      </c>
      <c r="B11" s="6">
        <v>1638</v>
      </c>
      <c r="C11" s="6">
        <v>39426</v>
      </c>
      <c r="D11" s="7">
        <v>0.456319444444444</v>
      </c>
      <c r="E11" s="6">
        <v>28830</v>
      </c>
      <c r="F11" s="6" t="s">
        <v>82</v>
      </c>
      <c r="G11" s="6">
        <v>1233</v>
      </c>
      <c r="H11" s="6" t="s">
        <v>83</v>
      </c>
      <c r="I11" s="6">
        <v>1815</v>
      </c>
      <c r="J11" s="6" t="s">
        <v>84</v>
      </c>
      <c r="K11" s="6">
        <v>221</v>
      </c>
      <c r="L11" s="6" t="s">
        <v>85</v>
      </c>
      <c r="M11" s="6">
        <v>2463</v>
      </c>
      <c r="N11" s="6" t="s">
        <v>86</v>
      </c>
      <c r="O11" s="6">
        <v>1492</v>
      </c>
      <c r="P11" s="6" t="s">
        <v>87</v>
      </c>
      <c r="Q11" s="6">
        <v>14245</v>
      </c>
      <c r="R11" s="6" t="s">
        <v>88</v>
      </c>
      <c r="S11" s="6">
        <v>6543</v>
      </c>
      <c r="T11" s="6" t="s">
        <v>89</v>
      </c>
      <c r="U11" s="6">
        <v>0</v>
      </c>
      <c r="V11" s="6" t="s">
        <v>19</v>
      </c>
      <c r="W11" s="6">
        <v>7</v>
      </c>
      <c r="X11" s="6" t="s">
        <v>90</v>
      </c>
      <c r="Y11" s="6">
        <v>811</v>
      </c>
      <c r="Z11" s="6" t="s">
        <v>91</v>
      </c>
      <c r="AA11" s="6">
        <v>0</v>
      </c>
      <c r="AB11" s="6" t="s">
        <v>19</v>
      </c>
      <c r="AC11" s="6">
        <v>19</v>
      </c>
      <c r="AD11" s="6">
        <v>28830</v>
      </c>
      <c r="AH11" s="9">
        <v>46154</v>
      </c>
      <c r="AI11" s="5">
        <v>1</v>
      </c>
    </row>
    <row r="12" spans="1:35">
      <c r="A12" s="6" t="s">
        <v>92</v>
      </c>
      <c r="B12" s="6">
        <v>1625</v>
      </c>
      <c r="C12" s="6">
        <v>35571</v>
      </c>
      <c r="D12" s="6" t="s">
        <v>93</v>
      </c>
      <c r="E12" s="6">
        <v>28350</v>
      </c>
      <c r="F12" s="6" t="s">
        <v>94</v>
      </c>
      <c r="G12" s="6">
        <v>1780</v>
      </c>
      <c r="H12" s="6" t="s">
        <v>95</v>
      </c>
      <c r="I12" s="6">
        <v>1909</v>
      </c>
      <c r="J12" s="6" t="s">
        <v>96</v>
      </c>
      <c r="K12" s="6">
        <v>1146</v>
      </c>
      <c r="L12" s="6" t="s">
        <v>97</v>
      </c>
      <c r="M12" s="6">
        <v>2224</v>
      </c>
      <c r="N12" s="6" t="s">
        <v>98</v>
      </c>
      <c r="O12" s="6">
        <v>0</v>
      </c>
      <c r="P12" s="6" t="s">
        <v>19</v>
      </c>
      <c r="Q12" s="6">
        <v>12781</v>
      </c>
      <c r="R12" s="6" t="s">
        <v>99</v>
      </c>
      <c r="S12" s="6">
        <v>5340</v>
      </c>
      <c r="T12" s="6" t="s">
        <v>100</v>
      </c>
      <c r="U12" s="6">
        <v>0</v>
      </c>
      <c r="V12" s="6" t="s">
        <v>19</v>
      </c>
      <c r="W12" s="6">
        <v>0</v>
      </c>
      <c r="X12" s="6" t="s">
        <v>19</v>
      </c>
      <c r="Y12" s="6">
        <v>3170</v>
      </c>
      <c r="Z12" s="6" t="s">
        <v>101</v>
      </c>
      <c r="AA12" s="6">
        <v>0</v>
      </c>
      <c r="AB12" s="6" t="s">
        <v>19</v>
      </c>
      <c r="AC12" s="6">
        <v>8</v>
      </c>
      <c r="AD12" s="6">
        <v>28350</v>
      </c>
      <c r="AH12" s="9">
        <v>46154</v>
      </c>
      <c r="AI12" s="5">
        <v>1</v>
      </c>
    </row>
    <row r="13" spans="1:35">
      <c r="A13" s="6" t="s">
        <v>102</v>
      </c>
      <c r="B13" s="6">
        <v>1626</v>
      </c>
      <c r="C13" s="6">
        <v>35641</v>
      </c>
      <c r="D13" s="6" t="s">
        <v>103</v>
      </c>
      <c r="E13" s="6">
        <v>27007</v>
      </c>
      <c r="F13" s="6" t="s">
        <v>104</v>
      </c>
      <c r="G13" s="6">
        <v>2313</v>
      </c>
      <c r="H13" s="6" t="s">
        <v>105</v>
      </c>
      <c r="I13" s="6">
        <v>1976</v>
      </c>
      <c r="J13" s="6" t="s">
        <v>106</v>
      </c>
      <c r="K13" s="6">
        <v>949</v>
      </c>
      <c r="L13" s="6" t="s">
        <v>107</v>
      </c>
      <c r="M13" s="6">
        <v>2041</v>
      </c>
      <c r="N13" s="6" t="s">
        <v>108</v>
      </c>
      <c r="O13" s="6">
        <v>0</v>
      </c>
      <c r="P13" s="6" t="s">
        <v>19</v>
      </c>
      <c r="Q13" s="6">
        <v>7430</v>
      </c>
      <c r="R13" s="6" t="s">
        <v>109</v>
      </c>
      <c r="S13" s="6">
        <v>6373</v>
      </c>
      <c r="T13" s="6" t="s">
        <v>110</v>
      </c>
      <c r="U13" s="6">
        <v>0</v>
      </c>
      <c r="V13" s="6" t="s">
        <v>19</v>
      </c>
      <c r="W13" s="6">
        <v>2558</v>
      </c>
      <c r="X13" s="6" t="s">
        <v>111</v>
      </c>
      <c r="Y13" s="6">
        <v>3367</v>
      </c>
      <c r="Z13" s="6" t="s">
        <v>112</v>
      </c>
      <c r="AA13" s="6">
        <v>0</v>
      </c>
      <c r="AB13" s="6" t="s">
        <v>19</v>
      </c>
      <c r="AC13" s="6">
        <v>9</v>
      </c>
      <c r="AD13" s="6">
        <v>27007</v>
      </c>
      <c r="AH13" s="9">
        <v>46154</v>
      </c>
      <c r="AI13" s="5">
        <v>1</v>
      </c>
    </row>
    <row r="14" spans="1:35">
      <c r="A14" s="6" t="s">
        <v>113</v>
      </c>
      <c r="B14" s="6">
        <v>1650</v>
      </c>
      <c r="C14" s="6">
        <v>34419</v>
      </c>
      <c r="D14" s="6" t="s">
        <v>114</v>
      </c>
      <c r="E14" s="6">
        <v>26285</v>
      </c>
      <c r="F14" s="6" t="s">
        <v>115</v>
      </c>
      <c r="G14" s="6">
        <v>3679</v>
      </c>
      <c r="H14" s="6" t="s">
        <v>116</v>
      </c>
      <c r="I14" s="6">
        <v>2476</v>
      </c>
      <c r="J14" s="6" t="s">
        <v>117</v>
      </c>
      <c r="K14" s="6">
        <v>1723</v>
      </c>
      <c r="L14" s="6" t="s">
        <v>118</v>
      </c>
      <c r="M14" s="6">
        <v>2231</v>
      </c>
      <c r="N14" s="6" t="s">
        <v>119</v>
      </c>
      <c r="O14" s="6">
        <v>0</v>
      </c>
      <c r="P14" s="6" t="s">
        <v>19</v>
      </c>
      <c r="Q14" s="6">
        <v>13599</v>
      </c>
      <c r="R14" s="6" t="s">
        <v>120</v>
      </c>
      <c r="S14" s="6">
        <v>2577</v>
      </c>
      <c r="T14" s="6" t="s">
        <v>121</v>
      </c>
      <c r="U14" s="6">
        <v>0</v>
      </c>
      <c r="V14" s="6" t="s">
        <v>19</v>
      </c>
      <c r="W14" s="6">
        <v>0</v>
      </c>
      <c r="X14" s="6" t="s">
        <v>19</v>
      </c>
      <c r="Y14" s="6">
        <v>0</v>
      </c>
      <c r="Z14" s="6" t="s">
        <v>19</v>
      </c>
      <c r="AA14" s="6">
        <v>0</v>
      </c>
      <c r="AB14" s="6" t="s">
        <v>19</v>
      </c>
      <c r="AC14" s="6">
        <v>27</v>
      </c>
      <c r="AD14" s="6">
        <v>26285</v>
      </c>
      <c r="AH14" s="9">
        <v>46154</v>
      </c>
      <c r="AI14" s="5">
        <v>1</v>
      </c>
    </row>
    <row r="15" spans="1:35">
      <c r="A15" s="6" t="s">
        <v>122</v>
      </c>
      <c r="B15" s="6">
        <v>1643</v>
      </c>
      <c r="C15" s="6">
        <v>35051</v>
      </c>
      <c r="D15" s="6" t="s">
        <v>123</v>
      </c>
      <c r="E15" s="6">
        <v>23785</v>
      </c>
      <c r="F15" s="6" t="s">
        <v>124</v>
      </c>
      <c r="G15" s="6">
        <v>1913</v>
      </c>
      <c r="H15" s="6" t="s">
        <v>125</v>
      </c>
      <c r="I15" s="6">
        <v>0</v>
      </c>
      <c r="J15" s="6" t="s">
        <v>19</v>
      </c>
      <c r="K15" s="6">
        <v>1904</v>
      </c>
      <c r="L15" s="6" t="s">
        <v>126</v>
      </c>
      <c r="M15" s="6">
        <v>2360</v>
      </c>
      <c r="N15" s="6" t="s">
        <v>127</v>
      </c>
      <c r="O15" s="6">
        <v>0</v>
      </c>
      <c r="P15" s="6" t="s">
        <v>19</v>
      </c>
      <c r="Q15" s="6">
        <v>4850</v>
      </c>
      <c r="R15" s="6" t="s">
        <v>128</v>
      </c>
      <c r="S15" s="6">
        <v>10017</v>
      </c>
      <c r="T15" s="6" t="s">
        <v>129</v>
      </c>
      <c r="U15" s="6">
        <v>0</v>
      </c>
      <c r="V15" s="6" t="s">
        <v>19</v>
      </c>
      <c r="W15" s="6">
        <v>0</v>
      </c>
      <c r="X15" s="6" t="s">
        <v>19</v>
      </c>
      <c r="Y15" s="6">
        <v>2741</v>
      </c>
      <c r="Z15" s="6" t="s">
        <v>130</v>
      </c>
      <c r="AA15" s="6">
        <v>0</v>
      </c>
      <c r="AB15" s="6" t="s">
        <v>19</v>
      </c>
      <c r="AC15" s="6">
        <v>24</v>
      </c>
      <c r="AD15" s="6">
        <v>23785</v>
      </c>
      <c r="AH15" s="9">
        <v>46154</v>
      </c>
      <c r="AI15" s="5">
        <v>1</v>
      </c>
    </row>
    <row r="16" spans="1:35">
      <c r="A16" s="6" t="s">
        <v>131</v>
      </c>
      <c r="B16" s="6">
        <v>1637</v>
      </c>
      <c r="C16" s="6">
        <v>33536</v>
      </c>
      <c r="D16" s="6" t="s">
        <v>132</v>
      </c>
      <c r="E16" s="6">
        <v>21995</v>
      </c>
      <c r="F16" s="6" t="s">
        <v>133</v>
      </c>
      <c r="G16" s="6">
        <v>3654</v>
      </c>
      <c r="H16" s="6" t="s">
        <v>134</v>
      </c>
      <c r="I16" s="6">
        <v>1900</v>
      </c>
      <c r="J16" s="6" t="s">
        <v>135</v>
      </c>
      <c r="K16" s="6">
        <v>0</v>
      </c>
      <c r="L16" s="6" t="s">
        <v>19</v>
      </c>
      <c r="M16" s="6">
        <v>2369</v>
      </c>
      <c r="N16" s="6" t="s">
        <v>136</v>
      </c>
      <c r="O16" s="6">
        <v>0</v>
      </c>
      <c r="P16" s="6" t="s">
        <v>19</v>
      </c>
      <c r="Q16" s="6">
        <v>0</v>
      </c>
      <c r="R16" s="6" t="s">
        <v>19</v>
      </c>
      <c r="S16" s="6">
        <v>8476</v>
      </c>
      <c r="T16" s="6" t="s">
        <v>137</v>
      </c>
      <c r="U16" s="6">
        <v>0</v>
      </c>
      <c r="V16" s="6" t="s">
        <v>19</v>
      </c>
      <c r="W16" s="6">
        <v>5596</v>
      </c>
      <c r="X16" s="6" t="s">
        <v>138</v>
      </c>
      <c r="Y16" s="6">
        <v>0</v>
      </c>
      <c r="Z16" s="6" t="s">
        <v>19</v>
      </c>
      <c r="AA16" s="6">
        <v>0</v>
      </c>
      <c r="AB16" s="6" t="s">
        <v>19</v>
      </c>
      <c r="AC16" s="6">
        <v>18</v>
      </c>
      <c r="AD16" s="6">
        <v>21995</v>
      </c>
      <c r="AH16" s="9">
        <v>46154</v>
      </c>
      <c r="AI16" s="5">
        <v>1</v>
      </c>
    </row>
    <row r="17" spans="1:35">
      <c r="A17" s="6" t="s">
        <v>139</v>
      </c>
      <c r="B17" s="6">
        <v>1627</v>
      </c>
      <c r="C17" s="6">
        <v>34458</v>
      </c>
      <c r="D17" s="6" t="s">
        <v>140</v>
      </c>
      <c r="E17" s="6">
        <v>21879</v>
      </c>
      <c r="F17" s="6" t="s">
        <v>141</v>
      </c>
      <c r="G17" s="6">
        <v>4623</v>
      </c>
      <c r="H17" s="6" t="s">
        <v>142</v>
      </c>
      <c r="I17" s="6">
        <v>0</v>
      </c>
      <c r="J17" s="6" t="s">
        <v>19</v>
      </c>
      <c r="K17" s="6">
        <v>864</v>
      </c>
      <c r="L17" s="6" t="s">
        <v>143</v>
      </c>
      <c r="M17" s="6">
        <v>2164</v>
      </c>
      <c r="N17" s="6" t="s">
        <v>144</v>
      </c>
      <c r="O17" s="6">
        <v>0</v>
      </c>
      <c r="P17" s="6" t="s">
        <v>19</v>
      </c>
      <c r="Q17" s="6">
        <v>1978</v>
      </c>
      <c r="R17" s="6" t="s">
        <v>145</v>
      </c>
      <c r="S17" s="6">
        <v>12250</v>
      </c>
      <c r="T17" s="6" t="s">
        <v>146</v>
      </c>
      <c r="U17" s="6">
        <v>0</v>
      </c>
      <c r="V17" s="6" t="s">
        <v>19</v>
      </c>
      <c r="W17" s="6">
        <v>0</v>
      </c>
      <c r="X17" s="6" t="s">
        <v>19</v>
      </c>
      <c r="Y17" s="6">
        <v>0</v>
      </c>
      <c r="Z17" s="6" t="s">
        <v>19</v>
      </c>
      <c r="AA17" s="6">
        <v>0</v>
      </c>
      <c r="AB17" s="6" t="s">
        <v>19</v>
      </c>
      <c r="AC17" s="6">
        <v>10</v>
      </c>
      <c r="AD17" s="6">
        <v>21879</v>
      </c>
      <c r="AH17" s="9">
        <v>46154</v>
      </c>
      <c r="AI17" s="5">
        <v>1</v>
      </c>
    </row>
    <row r="18" spans="1:35">
      <c r="A18" s="6" t="s">
        <v>147</v>
      </c>
      <c r="B18" s="6">
        <v>1631</v>
      </c>
      <c r="C18" s="6">
        <v>34718</v>
      </c>
      <c r="D18" s="6" t="s">
        <v>148</v>
      </c>
      <c r="E18" s="6">
        <v>21467</v>
      </c>
      <c r="F18" s="6" t="s">
        <v>149</v>
      </c>
      <c r="G18" s="6">
        <v>896</v>
      </c>
      <c r="H18" s="6" t="s">
        <v>150</v>
      </c>
      <c r="I18" s="6">
        <v>0</v>
      </c>
      <c r="J18" s="6" t="s">
        <v>19</v>
      </c>
      <c r="K18" s="6">
        <v>1836</v>
      </c>
      <c r="L18" s="6" t="s">
        <v>151</v>
      </c>
      <c r="M18" s="6">
        <v>2413</v>
      </c>
      <c r="N18" s="6" t="s">
        <v>152</v>
      </c>
      <c r="O18" s="6">
        <v>0</v>
      </c>
      <c r="P18" s="6" t="s">
        <v>19</v>
      </c>
      <c r="Q18" s="6">
        <v>2462</v>
      </c>
      <c r="R18" s="6" t="s">
        <v>153</v>
      </c>
      <c r="S18" s="6">
        <v>6217</v>
      </c>
      <c r="T18" s="6" t="s">
        <v>154</v>
      </c>
      <c r="U18" s="6">
        <v>0</v>
      </c>
      <c r="V18" s="6" t="s">
        <v>19</v>
      </c>
      <c r="W18" s="6">
        <v>5236</v>
      </c>
      <c r="X18" s="6" t="s">
        <v>155</v>
      </c>
      <c r="Y18" s="6">
        <v>2407</v>
      </c>
      <c r="Z18" s="6" t="s">
        <v>156</v>
      </c>
      <c r="AA18" s="6">
        <v>0</v>
      </c>
      <c r="AB18" s="6" t="s">
        <v>19</v>
      </c>
      <c r="AC18" s="6">
        <v>14</v>
      </c>
      <c r="AD18" s="6">
        <v>21467</v>
      </c>
      <c r="AH18" s="9">
        <v>46154</v>
      </c>
      <c r="AI18" s="5">
        <v>1</v>
      </c>
    </row>
    <row r="19" spans="1:35">
      <c r="A19" s="6"/>
      <c r="B19" s="6">
        <v>1648</v>
      </c>
      <c r="C19" s="6">
        <v>34479</v>
      </c>
      <c r="D19" s="6" t="s">
        <v>157</v>
      </c>
      <c r="E19" s="6">
        <v>21311</v>
      </c>
      <c r="F19" s="6" t="s">
        <v>158</v>
      </c>
      <c r="G19" s="6">
        <v>3754</v>
      </c>
      <c r="H19" s="6" t="s">
        <v>159</v>
      </c>
      <c r="I19" s="6">
        <v>1598</v>
      </c>
      <c r="J19" s="6" t="s">
        <v>160</v>
      </c>
      <c r="K19" s="6">
        <v>2869</v>
      </c>
      <c r="L19" s="6" t="s">
        <v>161</v>
      </c>
      <c r="M19" s="6">
        <v>2409</v>
      </c>
      <c r="N19" s="6" t="s">
        <v>162</v>
      </c>
      <c r="O19" s="6">
        <v>0</v>
      </c>
      <c r="P19" s="6" t="s">
        <v>19</v>
      </c>
      <c r="Q19" s="6">
        <v>594</v>
      </c>
      <c r="R19" s="6" t="s">
        <v>163</v>
      </c>
      <c r="S19" s="6">
        <v>10087</v>
      </c>
      <c r="T19" s="6" t="s">
        <v>164</v>
      </c>
      <c r="U19" s="6">
        <v>0</v>
      </c>
      <c r="V19" s="6" t="s">
        <v>19</v>
      </c>
      <c r="W19" s="6">
        <v>0</v>
      </c>
      <c r="X19" s="6" t="s">
        <v>19</v>
      </c>
      <c r="Y19" s="6">
        <v>0</v>
      </c>
      <c r="Z19" s="6" t="s">
        <v>19</v>
      </c>
      <c r="AA19" s="6">
        <v>0</v>
      </c>
      <c r="AB19" s="6" t="s">
        <v>19</v>
      </c>
      <c r="AC19" s="6">
        <v>26</v>
      </c>
      <c r="AD19" s="6">
        <v>21311</v>
      </c>
      <c r="AH19" s="9">
        <v>46154</v>
      </c>
      <c r="AI19" s="5">
        <v>1</v>
      </c>
    </row>
    <row r="20" spans="1:35">
      <c r="A20" s="6" t="s">
        <v>165</v>
      </c>
      <c r="B20" s="6">
        <v>1651</v>
      </c>
      <c r="C20" s="6">
        <v>39176</v>
      </c>
      <c r="D20" s="7">
        <v>0.453425925925926</v>
      </c>
      <c r="E20" s="6">
        <v>20572</v>
      </c>
      <c r="F20" s="6" t="s">
        <v>166</v>
      </c>
      <c r="G20" s="6">
        <v>637</v>
      </c>
      <c r="H20" s="6" t="s">
        <v>167</v>
      </c>
      <c r="I20" s="6">
        <v>2399</v>
      </c>
      <c r="J20" s="6" t="s">
        <v>168</v>
      </c>
      <c r="K20" s="6">
        <v>101</v>
      </c>
      <c r="L20" s="6" t="s">
        <v>169</v>
      </c>
      <c r="M20" s="6">
        <v>3179</v>
      </c>
      <c r="N20" s="6" t="s">
        <v>170</v>
      </c>
      <c r="O20" s="6">
        <v>0</v>
      </c>
      <c r="P20" s="6" t="s">
        <v>19</v>
      </c>
      <c r="Q20" s="6">
        <v>8113</v>
      </c>
      <c r="R20" s="6" t="s">
        <v>171</v>
      </c>
      <c r="S20" s="6">
        <v>5543</v>
      </c>
      <c r="T20" s="6" t="s">
        <v>172</v>
      </c>
      <c r="U20" s="6">
        <v>0</v>
      </c>
      <c r="V20" s="6" t="s">
        <v>19</v>
      </c>
      <c r="W20" s="6">
        <v>0</v>
      </c>
      <c r="X20" s="6" t="s">
        <v>19</v>
      </c>
      <c r="Y20" s="6">
        <v>600</v>
      </c>
      <c r="Z20" s="6" t="s">
        <v>173</v>
      </c>
      <c r="AA20" s="6">
        <v>0</v>
      </c>
      <c r="AB20" s="6" t="s">
        <v>19</v>
      </c>
      <c r="AC20" s="6">
        <v>28</v>
      </c>
      <c r="AD20" s="6">
        <v>20572</v>
      </c>
      <c r="AH20" s="9">
        <v>46154</v>
      </c>
      <c r="AI20" s="5">
        <v>1</v>
      </c>
    </row>
    <row r="21" spans="1:35">
      <c r="A21" s="6" t="s">
        <v>174</v>
      </c>
      <c r="B21" s="6">
        <v>1628</v>
      </c>
      <c r="C21" s="6">
        <v>33332</v>
      </c>
      <c r="D21" s="6" t="s">
        <v>175</v>
      </c>
      <c r="E21" s="6">
        <v>19461</v>
      </c>
      <c r="F21" s="6" t="s">
        <v>176</v>
      </c>
      <c r="G21" s="6">
        <v>943</v>
      </c>
      <c r="H21" s="6" t="s">
        <v>177</v>
      </c>
      <c r="I21" s="6">
        <v>2247</v>
      </c>
      <c r="J21" s="6" t="s">
        <v>178</v>
      </c>
      <c r="K21" s="6">
        <v>265</v>
      </c>
      <c r="L21" s="6" t="s">
        <v>179</v>
      </c>
      <c r="M21" s="6">
        <v>2174</v>
      </c>
      <c r="N21" s="6" t="s">
        <v>180</v>
      </c>
      <c r="O21" s="6">
        <v>0</v>
      </c>
      <c r="P21" s="6" t="s">
        <v>19</v>
      </c>
      <c r="Q21" s="6">
        <v>482</v>
      </c>
      <c r="R21" s="6" t="s">
        <v>181</v>
      </c>
      <c r="S21" s="6">
        <v>12295</v>
      </c>
      <c r="T21" s="6" t="s">
        <v>182</v>
      </c>
      <c r="U21" s="6">
        <v>0</v>
      </c>
      <c r="V21" s="6" t="s">
        <v>19</v>
      </c>
      <c r="W21" s="6">
        <v>0</v>
      </c>
      <c r="X21" s="6" t="s">
        <v>19</v>
      </c>
      <c r="Y21" s="6">
        <v>1055</v>
      </c>
      <c r="Z21" s="6" t="s">
        <v>183</v>
      </c>
      <c r="AA21" s="6">
        <v>0</v>
      </c>
      <c r="AB21" s="6" t="s">
        <v>19</v>
      </c>
      <c r="AC21" s="6">
        <v>11</v>
      </c>
      <c r="AD21" s="6">
        <v>19461</v>
      </c>
      <c r="AH21" s="9">
        <v>46154</v>
      </c>
      <c r="AI21" s="5">
        <v>1</v>
      </c>
    </row>
    <row r="22" spans="1:35">
      <c r="A22" s="6" t="s">
        <v>184</v>
      </c>
      <c r="B22" s="6">
        <v>1635</v>
      </c>
      <c r="C22" s="6">
        <v>33658</v>
      </c>
      <c r="D22" s="6" t="s">
        <v>185</v>
      </c>
      <c r="E22" s="6">
        <v>19227</v>
      </c>
      <c r="F22" s="6" t="s">
        <v>186</v>
      </c>
      <c r="G22" s="6">
        <v>1291</v>
      </c>
      <c r="H22" s="6" t="s">
        <v>187</v>
      </c>
      <c r="I22" s="6">
        <v>1481</v>
      </c>
      <c r="J22" s="6" t="s">
        <v>188</v>
      </c>
      <c r="K22" s="6">
        <v>2653</v>
      </c>
      <c r="L22" s="6" t="s">
        <v>189</v>
      </c>
      <c r="M22" s="6">
        <v>2376</v>
      </c>
      <c r="N22" s="6" t="s">
        <v>190</v>
      </c>
      <c r="O22" s="6">
        <v>0</v>
      </c>
      <c r="P22" s="6" t="s">
        <v>19</v>
      </c>
      <c r="Q22" s="6">
        <v>3268</v>
      </c>
      <c r="R22" s="6" t="s">
        <v>191</v>
      </c>
      <c r="S22" s="6">
        <v>5844</v>
      </c>
      <c r="T22" s="6" t="s">
        <v>192</v>
      </c>
      <c r="U22" s="6">
        <v>0</v>
      </c>
      <c r="V22" s="6" t="s">
        <v>19</v>
      </c>
      <c r="W22" s="6">
        <v>0</v>
      </c>
      <c r="X22" s="6" t="s">
        <v>19</v>
      </c>
      <c r="Y22" s="6">
        <v>2314</v>
      </c>
      <c r="Z22" s="6" t="s">
        <v>193</v>
      </c>
      <c r="AA22" s="6">
        <v>0</v>
      </c>
      <c r="AB22" s="6" t="s">
        <v>19</v>
      </c>
      <c r="AC22" s="6">
        <v>16</v>
      </c>
      <c r="AD22" s="6">
        <v>19227</v>
      </c>
      <c r="AH22" s="9">
        <v>46154</v>
      </c>
      <c r="AI22" s="5">
        <v>1</v>
      </c>
    </row>
    <row r="23" spans="1:35">
      <c r="A23" s="6" t="s">
        <v>194</v>
      </c>
      <c r="B23" s="6">
        <v>1636</v>
      </c>
      <c r="C23" s="6">
        <v>35902</v>
      </c>
      <c r="D23" s="6" t="s">
        <v>195</v>
      </c>
      <c r="E23" s="6">
        <v>18984</v>
      </c>
      <c r="F23" s="6" t="s">
        <v>196</v>
      </c>
      <c r="G23" s="6">
        <v>3044</v>
      </c>
      <c r="H23" s="6" t="s">
        <v>197</v>
      </c>
      <c r="I23" s="6">
        <v>906</v>
      </c>
      <c r="J23" s="6" t="s">
        <v>198</v>
      </c>
      <c r="K23" s="6">
        <v>1272</v>
      </c>
      <c r="L23" s="6" t="s">
        <v>199</v>
      </c>
      <c r="M23" s="6">
        <v>2017</v>
      </c>
      <c r="N23" s="6" t="s">
        <v>200</v>
      </c>
      <c r="O23" s="6">
        <v>0</v>
      </c>
      <c r="P23" s="6" t="s">
        <v>19</v>
      </c>
      <c r="Q23" s="6">
        <v>0</v>
      </c>
      <c r="R23" s="6" t="s">
        <v>19</v>
      </c>
      <c r="S23" s="6">
        <v>8301</v>
      </c>
      <c r="T23" s="6" t="s">
        <v>201</v>
      </c>
      <c r="U23" s="6">
        <v>0</v>
      </c>
      <c r="V23" s="6" t="s">
        <v>19</v>
      </c>
      <c r="W23" s="6">
        <v>0</v>
      </c>
      <c r="X23" s="6" t="s">
        <v>19</v>
      </c>
      <c r="Y23" s="6">
        <v>3444</v>
      </c>
      <c r="Z23" s="6" t="s">
        <v>202</v>
      </c>
      <c r="AA23" s="6">
        <v>0</v>
      </c>
      <c r="AB23" s="6" t="s">
        <v>19</v>
      </c>
      <c r="AC23" s="6">
        <v>17</v>
      </c>
      <c r="AD23" s="6">
        <v>18984</v>
      </c>
      <c r="AH23" s="9">
        <v>46154</v>
      </c>
      <c r="AI23" s="5">
        <v>1</v>
      </c>
    </row>
    <row r="24" spans="1:35">
      <c r="A24" s="6" t="s">
        <v>203</v>
      </c>
      <c r="B24" s="6">
        <v>1642</v>
      </c>
      <c r="C24" s="6">
        <v>34106</v>
      </c>
      <c r="D24" s="6" t="s">
        <v>204</v>
      </c>
      <c r="E24" s="6">
        <v>18940</v>
      </c>
      <c r="F24" s="6" t="s">
        <v>205</v>
      </c>
      <c r="G24" s="6">
        <v>3252</v>
      </c>
      <c r="H24" s="6" t="s">
        <v>206</v>
      </c>
      <c r="I24" s="6">
        <v>0</v>
      </c>
      <c r="J24" s="6" t="s">
        <v>19</v>
      </c>
      <c r="K24" s="6">
        <v>600</v>
      </c>
      <c r="L24" s="6" t="s">
        <v>173</v>
      </c>
      <c r="M24" s="6">
        <v>2227</v>
      </c>
      <c r="N24" s="6" t="s">
        <v>207</v>
      </c>
      <c r="O24" s="6">
        <v>0</v>
      </c>
      <c r="P24" s="6" t="s">
        <v>19</v>
      </c>
      <c r="Q24" s="6">
        <v>0</v>
      </c>
      <c r="R24" s="6" t="s">
        <v>19</v>
      </c>
      <c r="S24" s="6">
        <v>11082</v>
      </c>
      <c r="T24" s="6" t="s">
        <v>208</v>
      </c>
      <c r="U24" s="6">
        <v>0</v>
      </c>
      <c r="V24" s="6" t="s">
        <v>19</v>
      </c>
      <c r="W24" s="6">
        <v>0</v>
      </c>
      <c r="X24" s="6" t="s">
        <v>19</v>
      </c>
      <c r="Y24" s="6">
        <v>1779</v>
      </c>
      <c r="Z24" s="6" t="s">
        <v>209</v>
      </c>
      <c r="AA24" s="6">
        <v>0</v>
      </c>
      <c r="AB24" s="6" t="s">
        <v>19</v>
      </c>
      <c r="AC24" s="6">
        <v>23</v>
      </c>
      <c r="AD24" s="6">
        <v>18940</v>
      </c>
      <c r="AH24" s="9">
        <v>46154</v>
      </c>
      <c r="AI24" s="5">
        <v>1</v>
      </c>
    </row>
    <row r="25" spans="1:35">
      <c r="A25" s="6" t="s">
        <v>210</v>
      </c>
      <c r="B25" s="6">
        <v>1624</v>
      </c>
      <c r="C25" s="6">
        <v>35162</v>
      </c>
      <c r="D25" s="6" t="s">
        <v>211</v>
      </c>
      <c r="E25" s="6">
        <v>17640</v>
      </c>
      <c r="F25" s="6" t="s">
        <v>212</v>
      </c>
      <c r="G25" s="6">
        <v>2152</v>
      </c>
      <c r="H25" s="6" t="s">
        <v>213</v>
      </c>
      <c r="I25" s="6">
        <v>0</v>
      </c>
      <c r="J25" s="6" t="s">
        <v>19</v>
      </c>
      <c r="K25" s="6">
        <v>3442</v>
      </c>
      <c r="L25" s="6" t="s">
        <v>214</v>
      </c>
      <c r="M25" s="6">
        <v>2161</v>
      </c>
      <c r="N25" s="6" t="s">
        <v>215</v>
      </c>
      <c r="O25" s="6">
        <v>0</v>
      </c>
      <c r="P25" s="6" t="s">
        <v>19</v>
      </c>
      <c r="Q25" s="6">
        <v>0</v>
      </c>
      <c r="R25" s="6" t="s">
        <v>19</v>
      </c>
      <c r="S25" s="6">
        <v>7582</v>
      </c>
      <c r="T25" s="6" t="s">
        <v>216</v>
      </c>
      <c r="U25" s="6">
        <v>0</v>
      </c>
      <c r="V25" s="6" t="s">
        <v>19</v>
      </c>
      <c r="W25" s="6">
        <v>0</v>
      </c>
      <c r="X25" s="6" t="s">
        <v>19</v>
      </c>
      <c r="Y25" s="6">
        <v>2303</v>
      </c>
      <c r="Z25" s="6" t="s">
        <v>217</v>
      </c>
      <c r="AA25" s="6">
        <v>0</v>
      </c>
      <c r="AB25" s="6" t="s">
        <v>19</v>
      </c>
      <c r="AC25" s="6">
        <v>7</v>
      </c>
      <c r="AD25" s="6">
        <v>17640</v>
      </c>
      <c r="AH25" s="9">
        <v>46154</v>
      </c>
      <c r="AI25" s="5">
        <v>1</v>
      </c>
    </row>
    <row r="26" spans="1:35">
      <c r="A26" s="6" t="s">
        <v>218</v>
      </c>
      <c r="B26" s="6">
        <v>1653</v>
      </c>
      <c r="C26" s="6">
        <v>39232</v>
      </c>
      <c r="D26" s="7">
        <v>0.454074074074074</v>
      </c>
      <c r="E26" s="6">
        <v>17403</v>
      </c>
      <c r="F26" s="6" t="s">
        <v>219</v>
      </c>
      <c r="G26" s="6">
        <v>363</v>
      </c>
      <c r="H26" s="6" t="s">
        <v>220</v>
      </c>
      <c r="I26" s="6">
        <v>0</v>
      </c>
      <c r="J26" s="6" t="s">
        <v>19</v>
      </c>
      <c r="K26" s="6">
        <v>802</v>
      </c>
      <c r="L26" s="6" t="s">
        <v>221</v>
      </c>
      <c r="M26" s="6">
        <v>2272</v>
      </c>
      <c r="N26" s="6" t="s">
        <v>222</v>
      </c>
      <c r="O26" s="6">
        <v>0</v>
      </c>
      <c r="P26" s="6" t="s">
        <v>19</v>
      </c>
      <c r="Q26" s="6">
        <v>1064</v>
      </c>
      <c r="R26" s="6" t="s">
        <v>223</v>
      </c>
      <c r="S26" s="6">
        <v>12622</v>
      </c>
      <c r="T26" s="6" t="s">
        <v>224</v>
      </c>
      <c r="U26" s="6">
        <v>0</v>
      </c>
      <c r="V26" s="6" t="s">
        <v>19</v>
      </c>
      <c r="W26" s="6">
        <v>0</v>
      </c>
      <c r="X26" s="6" t="s">
        <v>19</v>
      </c>
      <c r="Y26" s="6">
        <v>280</v>
      </c>
      <c r="Z26" s="6" t="s">
        <v>225</v>
      </c>
      <c r="AA26" s="6">
        <v>0</v>
      </c>
      <c r="AB26" s="6" t="s">
        <v>19</v>
      </c>
      <c r="AC26" s="6">
        <v>30</v>
      </c>
      <c r="AD26" s="6">
        <v>17403</v>
      </c>
      <c r="AH26" s="9">
        <v>46154</v>
      </c>
      <c r="AI26" s="5">
        <v>1</v>
      </c>
    </row>
    <row r="27" spans="1:35">
      <c r="A27" s="6" t="s">
        <v>226</v>
      </c>
      <c r="B27" s="6">
        <v>1622</v>
      </c>
      <c r="C27" s="6">
        <v>32399</v>
      </c>
      <c r="D27" s="6" t="s">
        <v>227</v>
      </c>
      <c r="E27" s="6">
        <v>17316</v>
      </c>
      <c r="F27" s="6" t="s">
        <v>228</v>
      </c>
      <c r="G27" s="6">
        <v>2015</v>
      </c>
      <c r="H27" s="6" t="s">
        <v>229</v>
      </c>
      <c r="I27" s="6">
        <v>553</v>
      </c>
      <c r="J27" s="6" t="s">
        <v>230</v>
      </c>
      <c r="K27" s="6">
        <v>2297</v>
      </c>
      <c r="L27" s="6" t="s">
        <v>231</v>
      </c>
      <c r="M27" s="6">
        <v>2431</v>
      </c>
      <c r="N27" s="6" t="s">
        <v>232</v>
      </c>
      <c r="O27" s="6">
        <v>0</v>
      </c>
      <c r="P27" s="6" t="s">
        <v>19</v>
      </c>
      <c r="Q27" s="6">
        <v>1184</v>
      </c>
      <c r="R27" s="6" t="s">
        <v>233</v>
      </c>
      <c r="S27" s="6">
        <v>3958</v>
      </c>
      <c r="T27" s="6" t="s">
        <v>234</v>
      </c>
      <c r="U27" s="6">
        <v>0</v>
      </c>
      <c r="V27" s="6" t="s">
        <v>19</v>
      </c>
      <c r="W27" s="6">
        <v>4244</v>
      </c>
      <c r="X27" s="6" t="s">
        <v>235</v>
      </c>
      <c r="Y27" s="6">
        <v>634</v>
      </c>
      <c r="Z27" s="6" t="s">
        <v>236</v>
      </c>
      <c r="AA27" s="6">
        <v>0</v>
      </c>
      <c r="AB27" s="6" t="s">
        <v>19</v>
      </c>
      <c r="AC27" s="6">
        <v>6</v>
      </c>
      <c r="AD27" s="6">
        <v>17316</v>
      </c>
      <c r="AH27" s="9">
        <v>46154</v>
      </c>
      <c r="AI27" s="5">
        <v>1</v>
      </c>
    </row>
    <row r="28" spans="1:35">
      <c r="A28" s="6" t="s">
        <v>237</v>
      </c>
      <c r="B28" s="6">
        <v>1630</v>
      </c>
      <c r="C28" s="6">
        <v>35712</v>
      </c>
      <c r="D28" s="6" t="s">
        <v>238</v>
      </c>
      <c r="E28" s="6">
        <v>16882</v>
      </c>
      <c r="F28" s="6" t="s">
        <v>239</v>
      </c>
      <c r="G28" s="6">
        <v>1998</v>
      </c>
      <c r="H28" s="6" t="s">
        <v>240</v>
      </c>
      <c r="I28" s="6">
        <v>2570</v>
      </c>
      <c r="J28" s="6" t="s">
        <v>241</v>
      </c>
      <c r="K28" s="6">
        <v>1538</v>
      </c>
      <c r="L28" s="6" t="s">
        <v>242</v>
      </c>
      <c r="M28" s="6">
        <v>2377</v>
      </c>
      <c r="N28" s="6" t="s">
        <v>243</v>
      </c>
      <c r="O28" s="6">
        <v>0</v>
      </c>
      <c r="P28" s="6" t="s">
        <v>19</v>
      </c>
      <c r="Q28" s="6">
        <v>891</v>
      </c>
      <c r="R28" s="6" t="s">
        <v>244</v>
      </c>
      <c r="S28" s="6">
        <v>2662</v>
      </c>
      <c r="T28" s="6" t="s">
        <v>245</v>
      </c>
      <c r="U28" s="6">
        <v>0</v>
      </c>
      <c r="V28" s="6" t="s">
        <v>19</v>
      </c>
      <c r="W28" s="6">
        <v>1581</v>
      </c>
      <c r="X28" s="6" t="s">
        <v>246</v>
      </c>
      <c r="Y28" s="6">
        <v>3265</v>
      </c>
      <c r="Z28" s="6" t="s">
        <v>247</v>
      </c>
      <c r="AA28" s="6">
        <v>0</v>
      </c>
      <c r="AB28" s="6" t="s">
        <v>19</v>
      </c>
      <c r="AC28" s="6">
        <v>13</v>
      </c>
      <c r="AD28" s="6">
        <v>16882</v>
      </c>
      <c r="AH28" s="9">
        <v>46154</v>
      </c>
      <c r="AI28" s="5">
        <v>1</v>
      </c>
    </row>
    <row r="29" spans="1:35">
      <c r="A29" s="6" t="s">
        <v>248</v>
      </c>
      <c r="B29" s="6">
        <v>1632</v>
      </c>
      <c r="C29" s="6">
        <v>39431</v>
      </c>
      <c r="D29" s="7">
        <v>0.456377314814815</v>
      </c>
      <c r="E29" s="6">
        <v>16851</v>
      </c>
      <c r="F29" s="6" t="s">
        <v>249</v>
      </c>
      <c r="G29" s="6">
        <v>1418</v>
      </c>
      <c r="H29" s="6" t="s">
        <v>250</v>
      </c>
      <c r="I29" s="6">
        <v>2231</v>
      </c>
      <c r="J29" s="6" t="s">
        <v>119</v>
      </c>
      <c r="K29" s="6">
        <v>1921</v>
      </c>
      <c r="L29" s="6" t="s">
        <v>251</v>
      </c>
      <c r="M29" s="6">
        <v>2307</v>
      </c>
      <c r="N29" s="6" t="s">
        <v>252</v>
      </c>
      <c r="O29" s="6">
        <v>0</v>
      </c>
      <c r="P29" s="6" t="s">
        <v>19</v>
      </c>
      <c r="Q29" s="6">
        <v>0</v>
      </c>
      <c r="R29" s="6" t="s">
        <v>19</v>
      </c>
      <c r="S29" s="6">
        <v>8974</v>
      </c>
      <c r="T29" s="6" t="s">
        <v>253</v>
      </c>
      <c r="U29" s="6">
        <v>0</v>
      </c>
      <c r="V29" s="6" t="s">
        <v>19</v>
      </c>
      <c r="W29" s="6">
        <v>0</v>
      </c>
      <c r="X29" s="6" t="s">
        <v>19</v>
      </c>
      <c r="Y29" s="6">
        <v>0</v>
      </c>
      <c r="Z29" s="6" t="s">
        <v>19</v>
      </c>
      <c r="AA29" s="6">
        <v>0</v>
      </c>
      <c r="AB29" s="6" t="s">
        <v>19</v>
      </c>
      <c r="AC29" s="6">
        <v>15</v>
      </c>
      <c r="AD29" s="6">
        <v>16851</v>
      </c>
      <c r="AH29" s="9">
        <v>46154</v>
      </c>
      <c r="AI29" s="5">
        <v>1</v>
      </c>
    </row>
    <row r="30" spans="1:35">
      <c r="A30" s="6" t="s">
        <v>254</v>
      </c>
      <c r="B30" s="6">
        <v>1641</v>
      </c>
      <c r="C30" s="6">
        <v>35631</v>
      </c>
      <c r="D30" s="6" t="s">
        <v>255</v>
      </c>
      <c r="E30" s="6">
        <v>16429</v>
      </c>
      <c r="F30" s="6" t="s">
        <v>256</v>
      </c>
      <c r="G30" s="6">
        <v>2331</v>
      </c>
      <c r="H30" s="6" t="s">
        <v>257</v>
      </c>
      <c r="I30" s="6">
        <v>1289</v>
      </c>
      <c r="J30" s="6" t="s">
        <v>258</v>
      </c>
      <c r="K30" s="6">
        <v>1617</v>
      </c>
      <c r="L30" s="6" t="s">
        <v>259</v>
      </c>
      <c r="M30" s="6">
        <v>2592</v>
      </c>
      <c r="N30" s="6" t="s">
        <v>260</v>
      </c>
      <c r="O30" s="6">
        <v>0</v>
      </c>
      <c r="P30" s="6" t="s">
        <v>19</v>
      </c>
      <c r="Q30" s="6">
        <v>0</v>
      </c>
      <c r="R30" s="6" t="s">
        <v>19</v>
      </c>
      <c r="S30" s="6">
        <v>5336</v>
      </c>
      <c r="T30" s="6" t="s">
        <v>261</v>
      </c>
      <c r="U30" s="6">
        <v>0</v>
      </c>
      <c r="V30" s="6" t="s">
        <v>19</v>
      </c>
      <c r="W30" s="6">
        <v>150</v>
      </c>
      <c r="X30" s="6" t="s">
        <v>262</v>
      </c>
      <c r="Y30" s="6">
        <v>3114</v>
      </c>
      <c r="Z30" s="6" t="s">
        <v>263</v>
      </c>
      <c r="AA30" s="6">
        <v>0</v>
      </c>
      <c r="AB30" s="6" t="s">
        <v>19</v>
      </c>
      <c r="AC30" s="6">
        <v>22</v>
      </c>
      <c r="AD30" s="6">
        <v>16429</v>
      </c>
      <c r="AH30" s="9">
        <v>46154</v>
      </c>
      <c r="AI30" s="5">
        <v>1</v>
      </c>
    </row>
    <row r="31" spans="1:35">
      <c r="A31" s="6" t="s">
        <v>264</v>
      </c>
      <c r="B31" s="6">
        <v>1647</v>
      </c>
      <c r="C31" s="6">
        <v>33777</v>
      </c>
      <c r="D31" s="6" t="s">
        <v>265</v>
      </c>
      <c r="E31" s="6">
        <v>13745</v>
      </c>
      <c r="F31" s="6" t="s">
        <v>266</v>
      </c>
      <c r="G31" s="6">
        <v>4949</v>
      </c>
      <c r="H31" s="6" t="s">
        <v>267</v>
      </c>
      <c r="I31" s="6">
        <v>0</v>
      </c>
      <c r="J31" s="6" t="s">
        <v>19</v>
      </c>
      <c r="K31" s="6">
        <v>1597</v>
      </c>
      <c r="L31" s="6" t="s">
        <v>268</v>
      </c>
      <c r="M31" s="6">
        <v>2369</v>
      </c>
      <c r="N31" s="6" t="s">
        <v>136</v>
      </c>
      <c r="O31" s="6">
        <v>0</v>
      </c>
      <c r="P31" s="6" t="s">
        <v>19</v>
      </c>
      <c r="Q31" s="6">
        <v>78</v>
      </c>
      <c r="R31" s="6" t="s">
        <v>269</v>
      </c>
      <c r="S31" s="6">
        <v>3647</v>
      </c>
      <c r="T31" s="6" t="s">
        <v>270</v>
      </c>
      <c r="U31" s="6">
        <v>0</v>
      </c>
      <c r="V31" s="6" t="s">
        <v>19</v>
      </c>
      <c r="W31" s="6">
        <v>170</v>
      </c>
      <c r="X31" s="6" t="s">
        <v>271</v>
      </c>
      <c r="Y31" s="6">
        <v>935</v>
      </c>
      <c r="Z31" s="6" t="s">
        <v>272</v>
      </c>
      <c r="AA31" s="6">
        <v>0</v>
      </c>
      <c r="AB31" s="6" t="s">
        <v>19</v>
      </c>
      <c r="AC31" s="6">
        <v>25</v>
      </c>
      <c r="AD31" s="6">
        <v>13745</v>
      </c>
      <c r="AH31" s="9">
        <v>46154</v>
      </c>
      <c r="AI31" s="5">
        <v>1</v>
      </c>
    </row>
    <row r="32" spans="1:35">
      <c r="A32" s="6" t="s">
        <v>273</v>
      </c>
      <c r="B32" s="6">
        <v>1652</v>
      </c>
      <c r="C32" s="6">
        <v>23102</v>
      </c>
      <c r="D32" s="6" t="s">
        <v>274</v>
      </c>
      <c r="E32" s="6">
        <v>13628</v>
      </c>
      <c r="F32" s="6" t="s">
        <v>275</v>
      </c>
      <c r="G32" s="6">
        <v>620</v>
      </c>
      <c r="H32" s="6" t="s">
        <v>276</v>
      </c>
      <c r="I32" s="6">
        <v>0</v>
      </c>
      <c r="J32" s="6" t="s">
        <v>19</v>
      </c>
      <c r="K32" s="6">
        <v>418</v>
      </c>
      <c r="L32" s="6" t="s">
        <v>277</v>
      </c>
      <c r="M32" s="6">
        <v>2400</v>
      </c>
      <c r="N32" s="6" t="s">
        <v>77</v>
      </c>
      <c r="O32" s="6">
        <v>0</v>
      </c>
      <c r="P32" s="6" t="s">
        <v>19</v>
      </c>
      <c r="Q32" s="6">
        <v>586</v>
      </c>
      <c r="R32" s="6" t="s">
        <v>278</v>
      </c>
      <c r="S32" s="6">
        <v>6226</v>
      </c>
      <c r="T32" s="6" t="s">
        <v>279</v>
      </c>
      <c r="U32" s="6">
        <v>0</v>
      </c>
      <c r="V32" s="6" t="s">
        <v>19</v>
      </c>
      <c r="W32" s="6">
        <v>70</v>
      </c>
      <c r="X32" s="6" t="s">
        <v>280</v>
      </c>
      <c r="Y32" s="6">
        <v>3308</v>
      </c>
      <c r="Z32" s="6" t="s">
        <v>281</v>
      </c>
      <c r="AA32" s="6">
        <v>0</v>
      </c>
      <c r="AB32" s="6" t="s">
        <v>19</v>
      </c>
      <c r="AC32" s="6">
        <v>29</v>
      </c>
      <c r="AD32" s="6">
        <v>13628</v>
      </c>
      <c r="AH32" s="9">
        <v>46154</v>
      </c>
      <c r="AI32" s="5">
        <v>1</v>
      </c>
    </row>
    <row r="33" spans="1:35">
      <c r="A33" s="6" t="s">
        <v>282</v>
      </c>
      <c r="B33" s="6">
        <v>1621</v>
      </c>
      <c r="C33" s="6">
        <v>36238</v>
      </c>
      <c r="D33" s="7">
        <v>0.419421296296296</v>
      </c>
      <c r="E33" s="6">
        <v>13343</v>
      </c>
      <c r="F33" s="6" t="s">
        <v>283</v>
      </c>
      <c r="G33" s="6">
        <v>3461</v>
      </c>
      <c r="H33" s="6" t="s">
        <v>284</v>
      </c>
      <c r="I33" s="6">
        <v>2649</v>
      </c>
      <c r="J33" s="6" t="s">
        <v>285</v>
      </c>
      <c r="K33" s="6">
        <v>547</v>
      </c>
      <c r="L33" s="6" t="s">
        <v>286</v>
      </c>
      <c r="M33" s="6">
        <v>2427</v>
      </c>
      <c r="N33" s="6" t="s">
        <v>287</v>
      </c>
      <c r="O33" s="6">
        <v>0</v>
      </c>
      <c r="P33" s="6" t="s">
        <v>19</v>
      </c>
      <c r="Q33" s="6">
        <v>77</v>
      </c>
      <c r="R33" s="6" t="s">
        <v>288</v>
      </c>
      <c r="S33" s="6">
        <v>481</v>
      </c>
      <c r="T33" s="6" t="s">
        <v>289</v>
      </c>
      <c r="U33" s="6">
        <v>0</v>
      </c>
      <c r="V33" s="6" t="s">
        <v>19</v>
      </c>
      <c r="W33" s="6">
        <v>70</v>
      </c>
      <c r="X33" s="6" t="s">
        <v>280</v>
      </c>
      <c r="Y33" s="6">
        <v>3631</v>
      </c>
      <c r="Z33" s="6" t="s">
        <v>290</v>
      </c>
      <c r="AA33" s="6">
        <v>0</v>
      </c>
      <c r="AB33" s="6" t="s">
        <v>19</v>
      </c>
      <c r="AC33" s="6">
        <v>5</v>
      </c>
      <c r="AD33" s="6">
        <v>13343</v>
      </c>
      <c r="AH33" s="9">
        <v>46154</v>
      </c>
      <c r="AI33" s="5">
        <v>1</v>
      </c>
    </row>
    <row r="34" spans="1:35">
      <c r="A34" s="6" t="s">
        <v>291</v>
      </c>
      <c r="B34" s="6">
        <v>1639</v>
      </c>
      <c r="C34" s="6">
        <v>22379</v>
      </c>
      <c r="D34" s="6" t="s">
        <v>292</v>
      </c>
      <c r="E34" s="6">
        <v>10953</v>
      </c>
      <c r="F34" s="6" t="s">
        <v>293</v>
      </c>
      <c r="G34" s="6">
        <v>415</v>
      </c>
      <c r="H34" s="6" t="s">
        <v>294</v>
      </c>
      <c r="I34" s="6">
        <v>1364</v>
      </c>
      <c r="J34" s="6" t="s">
        <v>295</v>
      </c>
      <c r="K34" s="6">
        <v>935</v>
      </c>
      <c r="L34" s="6" t="s">
        <v>272</v>
      </c>
      <c r="M34" s="6">
        <v>2356</v>
      </c>
      <c r="N34" s="6" t="s">
        <v>296</v>
      </c>
      <c r="O34" s="6">
        <v>0</v>
      </c>
      <c r="P34" s="6" t="s">
        <v>19</v>
      </c>
      <c r="Q34" s="6">
        <v>133</v>
      </c>
      <c r="R34" s="6" t="s">
        <v>297</v>
      </c>
      <c r="S34" s="6">
        <v>3138</v>
      </c>
      <c r="T34" s="6" t="s">
        <v>298</v>
      </c>
      <c r="U34" s="6">
        <v>0</v>
      </c>
      <c r="V34" s="6" t="s">
        <v>19</v>
      </c>
      <c r="W34" s="6">
        <v>52</v>
      </c>
      <c r="X34" s="6" t="s">
        <v>299</v>
      </c>
      <c r="Y34" s="6">
        <v>2560</v>
      </c>
      <c r="Z34" s="6" t="s">
        <v>300</v>
      </c>
      <c r="AA34" s="6">
        <v>0</v>
      </c>
      <c r="AB34" s="6" t="s">
        <v>19</v>
      </c>
      <c r="AC34" s="6">
        <v>20</v>
      </c>
      <c r="AD34" s="6">
        <v>10953</v>
      </c>
      <c r="AH34" s="9">
        <v>46154</v>
      </c>
      <c r="AI34" s="5">
        <v>1</v>
      </c>
    </row>
    <row r="35" spans="1:35">
      <c r="A35" s="6" t="s">
        <v>301</v>
      </c>
      <c r="B35" s="6">
        <v>1629</v>
      </c>
      <c r="C35" s="6">
        <v>4994</v>
      </c>
      <c r="D35" s="6" t="s">
        <v>302</v>
      </c>
      <c r="E35" s="6">
        <v>4994</v>
      </c>
      <c r="F35" s="6" t="s">
        <v>302</v>
      </c>
      <c r="G35" s="6">
        <v>9</v>
      </c>
      <c r="H35" s="6" t="s">
        <v>303</v>
      </c>
      <c r="I35" s="6">
        <v>0</v>
      </c>
      <c r="J35" s="6" t="s">
        <v>19</v>
      </c>
      <c r="K35" s="6">
        <v>0</v>
      </c>
      <c r="L35" s="6" t="s">
        <v>19</v>
      </c>
      <c r="M35" s="6">
        <v>2404</v>
      </c>
      <c r="N35" s="6" t="s">
        <v>304</v>
      </c>
      <c r="O35" s="6">
        <v>0</v>
      </c>
      <c r="P35" s="6" t="s">
        <v>19</v>
      </c>
      <c r="Q35" s="6">
        <v>0</v>
      </c>
      <c r="R35" s="6" t="s">
        <v>19</v>
      </c>
      <c r="S35" s="6">
        <v>0</v>
      </c>
      <c r="T35" s="6" t="s">
        <v>19</v>
      </c>
      <c r="U35" s="6">
        <v>0</v>
      </c>
      <c r="V35" s="6" t="s">
        <v>19</v>
      </c>
      <c r="W35" s="6">
        <v>0</v>
      </c>
      <c r="X35" s="6" t="s">
        <v>19</v>
      </c>
      <c r="Y35" s="6">
        <v>2581</v>
      </c>
      <c r="Z35" s="6" t="s">
        <v>305</v>
      </c>
      <c r="AA35" s="6">
        <v>0</v>
      </c>
      <c r="AB35" s="6" t="s">
        <v>19</v>
      </c>
      <c r="AC35" s="6">
        <v>12</v>
      </c>
      <c r="AD35" s="6">
        <v>4994</v>
      </c>
      <c r="AH35" s="9">
        <v>46154</v>
      </c>
      <c r="AI35" s="5">
        <v>1</v>
      </c>
    </row>
    <row r="36" spans="1:35">
      <c r="A36" s="6" t="s">
        <v>306</v>
      </c>
      <c r="B36" s="6">
        <v>1616</v>
      </c>
      <c r="C36" s="6">
        <v>9</v>
      </c>
      <c r="D36" s="6" t="s">
        <v>303</v>
      </c>
      <c r="E36" s="6">
        <v>9</v>
      </c>
      <c r="F36" s="6" t="s">
        <v>303</v>
      </c>
      <c r="G36" s="6">
        <v>9</v>
      </c>
      <c r="H36" s="6" t="s">
        <v>303</v>
      </c>
      <c r="I36" s="6">
        <v>0</v>
      </c>
      <c r="J36" s="6" t="s">
        <v>19</v>
      </c>
      <c r="K36" s="6">
        <v>0</v>
      </c>
      <c r="L36" s="6" t="s">
        <v>19</v>
      </c>
      <c r="M36" s="6">
        <v>0</v>
      </c>
      <c r="N36" s="6" t="s">
        <v>19</v>
      </c>
      <c r="O36" s="6">
        <v>0</v>
      </c>
      <c r="P36" s="6" t="s">
        <v>19</v>
      </c>
      <c r="Q36" s="6">
        <v>0</v>
      </c>
      <c r="R36" s="6" t="s">
        <v>19</v>
      </c>
      <c r="S36" s="6">
        <v>0</v>
      </c>
      <c r="T36" s="6" t="s">
        <v>19</v>
      </c>
      <c r="U36" s="6">
        <v>0</v>
      </c>
      <c r="V36" s="6" t="s">
        <v>19</v>
      </c>
      <c r="W36" s="6">
        <v>0</v>
      </c>
      <c r="X36" s="6" t="s">
        <v>19</v>
      </c>
      <c r="Y36" s="6">
        <v>0</v>
      </c>
      <c r="Z36" s="6" t="s">
        <v>19</v>
      </c>
      <c r="AA36" s="6">
        <v>0</v>
      </c>
      <c r="AB36" s="6" t="s">
        <v>19</v>
      </c>
      <c r="AC36" s="6">
        <v>2</v>
      </c>
      <c r="AD36" s="6">
        <v>9</v>
      </c>
      <c r="AH36" s="9">
        <v>46154</v>
      </c>
      <c r="AI36" s="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opLeftCell="A6" workbookViewId="0">
      <selection activeCell="A27" sqref="A27"/>
    </sheetView>
  </sheetViews>
  <sheetFormatPr defaultColWidth="9" defaultRowHeight="15" outlineLevelCol="2"/>
  <cols>
    <col min="1" max="1" width="10.125" customWidth="1"/>
  </cols>
  <sheetData>
    <row r="1" spans="1:3">
      <c r="A1" t="s">
        <v>307</v>
      </c>
      <c r="B1" t="s">
        <v>308</v>
      </c>
      <c r="C1" t="s">
        <v>309</v>
      </c>
    </row>
    <row r="2" spans="1:3">
      <c r="A2" t="s">
        <v>310</v>
      </c>
      <c r="B2" t="s">
        <v>310</v>
      </c>
      <c r="C2">
        <v>1648</v>
      </c>
    </row>
    <row r="3" spans="1:3">
      <c r="A3" t="s">
        <v>194</v>
      </c>
      <c r="B3" t="s">
        <v>194</v>
      </c>
      <c r="C3">
        <v>1636</v>
      </c>
    </row>
    <row r="4" spans="1:3">
      <c r="A4" t="s">
        <v>301</v>
      </c>
      <c r="B4" t="s">
        <v>301</v>
      </c>
      <c r="C4">
        <v>1629</v>
      </c>
    </row>
    <row r="5" spans="1:3">
      <c r="A5" t="s">
        <v>291</v>
      </c>
      <c r="B5" t="s">
        <v>291</v>
      </c>
      <c r="C5">
        <v>1639</v>
      </c>
    </row>
    <row r="6" spans="1:3">
      <c r="A6" t="s">
        <v>226</v>
      </c>
      <c r="B6" t="s">
        <v>226</v>
      </c>
      <c r="C6">
        <v>1622</v>
      </c>
    </row>
    <row r="7" spans="1:3">
      <c r="A7" t="s">
        <v>273</v>
      </c>
      <c r="B7" t="s">
        <v>273</v>
      </c>
      <c r="C7">
        <v>1652</v>
      </c>
    </row>
    <row r="8" spans="1:3">
      <c r="A8" t="s">
        <v>184</v>
      </c>
      <c r="B8" t="s">
        <v>184</v>
      </c>
      <c r="C8">
        <v>1635</v>
      </c>
    </row>
    <row r="9" spans="1:3">
      <c r="A9" t="s">
        <v>40</v>
      </c>
      <c r="B9" t="s">
        <v>40</v>
      </c>
      <c r="C9">
        <v>1654</v>
      </c>
    </row>
    <row r="10" spans="1:3">
      <c r="A10" t="s">
        <v>210</v>
      </c>
      <c r="B10" t="s">
        <v>210</v>
      </c>
      <c r="C10">
        <v>1624</v>
      </c>
    </row>
    <row r="11" spans="1:3">
      <c r="A11" t="s">
        <v>64</v>
      </c>
      <c r="B11" t="s">
        <v>64</v>
      </c>
      <c r="C11">
        <v>1617</v>
      </c>
    </row>
    <row r="12" spans="1:3">
      <c r="A12" t="s">
        <v>174</v>
      </c>
      <c r="B12" t="s">
        <v>174</v>
      </c>
      <c r="C12">
        <v>1628</v>
      </c>
    </row>
    <row r="13" spans="1:3">
      <c r="A13" t="s">
        <v>81</v>
      </c>
      <c r="B13" t="s">
        <v>81</v>
      </c>
      <c r="C13">
        <v>1638</v>
      </c>
    </row>
    <row r="14" spans="1:3">
      <c r="A14" t="s">
        <v>102</v>
      </c>
      <c r="B14" t="s">
        <v>102</v>
      </c>
      <c r="C14">
        <v>1626</v>
      </c>
    </row>
    <row r="15" spans="1:3">
      <c r="A15" t="s">
        <v>139</v>
      </c>
      <c r="B15" t="s">
        <v>139</v>
      </c>
      <c r="C15">
        <v>1627</v>
      </c>
    </row>
    <row r="16" spans="1:3">
      <c r="A16" t="s">
        <v>203</v>
      </c>
      <c r="B16" t="s">
        <v>203</v>
      </c>
      <c r="C16">
        <v>1642</v>
      </c>
    </row>
    <row r="17" spans="1:3">
      <c r="A17" t="s">
        <v>264</v>
      </c>
      <c r="B17" t="s">
        <v>264</v>
      </c>
      <c r="C17">
        <v>1647</v>
      </c>
    </row>
    <row r="18" spans="1:3">
      <c r="A18" t="s">
        <v>71</v>
      </c>
      <c r="B18" t="s">
        <v>71</v>
      </c>
      <c r="C18">
        <v>1620</v>
      </c>
    </row>
    <row r="19" spans="1:3">
      <c r="A19" t="s">
        <v>20</v>
      </c>
      <c r="B19" t="s">
        <v>20</v>
      </c>
      <c r="C19">
        <v>1655</v>
      </c>
    </row>
    <row r="20" spans="1:3">
      <c r="A20" t="s">
        <v>165</v>
      </c>
      <c r="B20" t="s">
        <v>165</v>
      </c>
      <c r="C20">
        <v>1651</v>
      </c>
    </row>
    <row r="21" spans="1:3">
      <c r="A21" t="s">
        <v>55</v>
      </c>
      <c r="B21" t="s">
        <v>55</v>
      </c>
      <c r="C21">
        <v>1640</v>
      </c>
    </row>
    <row r="22" spans="1:3">
      <c r="A22" t="s">
        <v>248</v>
      </c>
      <c r="B22" t="s">
        <v>248</v>
      </c>
      <c r="C22">
        <v>1632</v>
      </c>
    </row>
    <row r="23" spans="1:3">
      <c r="A23" t="s">
        <v>306</v>
      </c>
      <c r="B23" t="s">
        <v>306</v>
      </c>
      <c r="C23">
        <v>1616</v>
      </c>
    </row>
    <row r="24" spans="1:3">
      <c r="A24" t="s">
        <v>113</v>
      </c>
      <c r="B24" t="s">
        <v>113</v>
      </c>
      <c r="C24">
        <v>1650</v>
      </c>
    </row>
    <row r="25" spans="1:3">
      <c r="A25" t="s">
        <v>237</v>
      </c>
      <c r="B25" t="s">
        <v>237</v>
      </c>
      <c r="C25">
        <v>1630</v>
      </c>
    </row>
    <row r="26" spans="1:3">
      <c r="A26" t="s">
        <v>47</v>
      </c>
      <c r="B26" t="s">
        <v>47</v>
      </c>
      <c r="C26">
        <v>1656</v>
      </c>
    </row>
    <row r="27" spans="1:3">
      <c r="A27" t="s">
        <v>218</v>
      </c>
      <c r="B27" t="s">
        <v>218</v>
      </c>
      <c r="C27">
        <v>1653</v>
      </c>
    </row>
    <row r="28" spans="1:3">
      <c r="A28" t="s">
        <v>147</v>
      </c>
      <c r="B28" t="s">
        <v>147</v>
      </c>
      <c r="C28">
        <v>1631</v>
      </c>
    </row>
    <row r="29" spans="1:3">
      <c r="A29" t="s">
        <v>27</v>
      </c>
      <c r="B29" t="s">
        <v>27</v>
      </c>
      <c r="C29">
        <v>1657</v>
      </c>
    </row>
    <row r="30" spans="1:3">
      <c r="A30" t="s">
        <v>92</v>
      </c>
      <c r="B30" t="s">
        <v>92</v>
      </c>
      <c r="C30">
        <v>1625</v>
      </c>
    </row>
    <row r="31" spans="1:3">
      <c r="A31" t="s">
        <v>254</v>
      </c>
      <c r="B31" t="s">
        <v>254</v>
      </c>
      <c r="C31">
        <v>1641</v>
      </c>
    </row>
    <row r="32" spans="1:3">
      <c r="A32" t="s">
        <v>131</v>
      </c>
      <c r="B32" t="s">
        <v>131</v>
      </c>
      <c r="C32">
        <v>1637</v>
      </c>
    </row>
    <row r="33" spans="1:3">
      <c r="A33" t="s">
        <v>122</v>
      </c>
      <c r="B33" t="s">
        <v>122</v>
      </c>
      <c r="C33">
        <v>1643</v>
      </c>
    </row>
    <row r="34" spans="1:3">
      <c r="A34" t="s">
        <v>34</v>
      </c>
      <c r="B34" t="s">
        <v>34</v>
      </c>
      <c r="C34">
        <v>1615</v>
      </c>
    </row>
    <row r="35" spans="1:3">
      <c r="A35" t="s">
        <v>282</v>
      </c>
      <c r="B35" t="s">
        <v>282</v>
      </c>
      <c r="C35">
        <v>1621</v>
      </c>
    </row>
  </sheetData>
  <sortState ref="B2:C35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tabSelected="1" topLeftCell="A7" workbookViewId="0">
      <selection activeCell="A34" sqref="A34"/>
    </sheetView>
  </sheetViews>
  <sheetFormatPr defaultColWidth="9" defaultRowHeight="15"/>
  <cols>
    <col min="1" max="3" width="11.875" style="1" customWidth="1"/>
    <col min="4" max="4" width="5.375" style="1" customWidth="1"/>
    <col min="5" max="17" width="11.875" style="1" customWidth="1"/>
    <col min="18" max="16384" width="9" style="1"/>
  </cols>
  <sheetData>
    <row r="1" spans="1:18">
      <c r="A1" s="2" t="s">
        <v>311</v>
      </c>
      <c r="B1" s="2" t="s">
        <v>312</v>
      </c>
      <c r="C1" s="2" t="s">
        <v>313</v>
      </c>
      <c r="D1" s="2" t="s">
        <v>314</v>
      </c>
      <c r="E1" s="2" t="s">
        <v>315</v>
      </c>
      <c r="F1" s="2" t="s">
        <v>316</v>
      </c>
      <c r="G1" s="2" t="s">
        <v>317</v>
      </c>
      <c r="H1" s="2" t="s">
        <v>318</v>
      </c>
      <c r="I1" s="2" t="s">
        <v>319</v>
      </c>
      <c r="J1" s="2" t="s">
        <v>320</v>
      </c>
      <c r="K1" s="2" t="s">
        <v>321</v>
      </c>
      <c r="L1" s="2" t="s">
        <v>322</v>
      </c>
      <c r="M1" s="2" t="s">
        <v>323</v>
      </c>
      <c r="N1" s="2" t="s">
        <v>324</v>
      </c>
      <c r="O1" s="2" t="s">
        <v>325</v>
      </c>
      <c r="P1" s="2" t="s">
        <v>326</v>
      </c>
      <c r="Q1" s="2" t="s">
        <v>327</v>
      </c>
      <c r="R1" s="2" t="s">
        <v>328</v>
      </c>
    </row>
    <row r="2" spans="1:18">
      <c r="A2" s="3" t="e">
        <f>DAY(VLOOKUP(C2,Pasted!$A$3:$AH$50,34,0))&amp;" "&amp;CHOOSE(MONTH(VLOOKUP(C2,Pasted!$A$3:$AH$50,34,0)),"Jan","Feb","Mar","Apr","May","Jun","Jul","Aug","Sep","Oct","Nov","Dec")&amp;" "&amp;YEAR(VLOOKUP(C2,Pasted!$A$3:$AH$50,34,0))</f>
        <v>#N/A</v>
      </c>
      <c r="B2" s="1" t="s">
        <v>310</v>
      </c>
      <c r="C2" s="1" t="s">
        <v>310</v>
      </c>
      <c r="D2" s="1">
        <v>1648</v>
      </c>
      <c r="E2" s="1">
        <f>IFERROR(VLOOKUP(C2,Pasted!$A$3:$AD$50,3,0),0)</f>
        <v>0</v>
      </c>
      <c r="F2" s="1">
        <f>IFERROR(VLOOKUP(C2,Pasted!$A$3:$AD$50,7,0),0)</f>
        <v>0</v>
      </c>
      <c r="G2" s="1">
        <f>IFERROR(VLOOKUP(C2,Pasted!$A$3:$AD$50,9,0),0)</f>
        <v>0</v>
      </c>
      <c r="H2" s="1">
        <f>IFERROR(VLOOKUP(C2,Pasted!$A$3:$AD$50,11,0),0)</f>
        <v>0</v>
      </c>
      <c r="I2" s="1">
        <f>IFERROR(VLOOKUP(C2,Pasted!$A$3:$AD$50,13,0),0)</f>
        <v>0</v>
      </c>
      <c r="J2" s="1">
        <f>IFERROR(VLOOKUP(C2,Pasted!$A$3:$AD$50,15,0),0)</f>
        <v>0</v>
      </c>
      <c r="K2" s="1">
        <f>IFERROR(VLOOKUP(C2,Pasted!$A$3:$AD$50,17,0),0)</f>
        <v>0</v>
      </c>
      <c r="L2" s="1">
        <f>IFERROR(VLOOKUP(C2,Pasted!$A$3:$AD$50,19,0),0)</f>
        <v>0</v>
      </c>
      <c r="M2" s="1">
        <f>IFERROR(VLOOKUP(C2,Pasted!$A$3:$AD$50,21,0),0)</f>
        <v>0</v>
      </c>
      <c r="N2" s="1">
        <f>IFERROR(VLOOKUP(C2,Pasted!$A$3:$AD$50,23,0),0)</f>
        <v>0</v>
      </c>
      <c r="O2" s="1">
        <f>IFERROR(VLOOKUP(C2,Pasted!$A$3:$AD$50,25,0),0)</f>
        <v>0</v>
      </c>
      <c r="P2" s="1">
        <f>IFERROR(VLOOKUP(C2,Pasted!$A$3:$AD$50,27,0),0)</f>
        <v>0</v>
      </c>
      <c r="Q2" s="1" t="s">
        <v>329</v>
      </c>
      <c r="R2" s="1" t="e">
        <f>IF(OR(VLOOKUP(C2,Pasted!$A$3:$AI$50,35,0)=1,LOWER(VLOOKUP(C2,Pasted!$A$3:$AI$50,35,0))="weekday",LOWER(VLOOKUP(C2,Pasted!$A$3:$AI$50,35,0))="yes"),1,0)</f>
        <v>#N/A</v>
      </c>
    </row>
    <row r="3" spans="1:18">
      <c r="A3" s="3" t="str">
        <f>DAY(VLOOKUP(C3,Pasted!$A$3:$AH$50,34,0))&amp;" "&amp;CHOOSE(MONTH(VLOOKUP(C3,Pasted!$A$3:$AH$50,34,0)),"Jan","Feb","Mar","Apr","May","Jun","Jul","Aug","Sep","Oct","Nov","Dec")&amp;" "&amp;YEAR(VLOOKUP(C3,Pasted!$A$3:$AH$50,34,0))</f>
        <v>12 May 2026</v>
      </c>
      <c r="B3" s="1" t="s">
        <v>194</v>
      </c>
      <c r="C3" s="1" t="s">
        <v>194</v>
      </c>
      <c r="D3" s="1">
        <v>1636</v>
      </c>
      <c r="E3" s="1">
        <f>IFERROR(VLOOKUP(C3,Pasted!$A$3:$AD$50,3,0),0)</f>
        <v>35902</v>
      </c>
      <c r="F3" s="1">
        <f>IFERROR(VLOOKUP(C3,Pasted!$A$3:$AD$50,7,0),0)</f>
        <v>3044</v>
      </c>
      <c r="G3" s="1">
        <f>IFERROR(VLOOKUP(C3,Pasted!$A$3:$AD$50,9,0),0)</f>
        <v>906</v>
      </c>
      <c r="H3" s="1">
        <f>IFERROR(VLOOKUP(C3,Pasted!$A$3:$AD$50,11,0),0)</f>
        <v>1272</v>
      </c>
      <c r="I3" s="1">
        <f>IFERROR(VLOOKUP(C3,Pasted!$A$3:$AD$50,13,0),0)</f>
        <v>2017</v>
      </c>
      <c r="J3" s="1">
        <f>IFERROR(VLOOKUP(C3,Pasted!$A$3:$AD$50,15,0),0)</f>
        <v>0</v>
      </c>
      <c r="K3" s="1">
        <f>IFERROR(VLOOKUP(C3,Pasted!$A$3:$AD$50,17,0),0)</f>
        <v>0</v>
      </c>
      <c r="L3" s="1">
        <f>IFERROR(VLOOKUP(C3,Pasted!$A$3:$AD$50,19,0),0)</f>
        <v>8301</v>
      </c>
      <c r="M3" s="1">
        <f>IFERROR(VLOOKUP(C3,Pasted!$A$3:$AD$50,21,0),0)</f>
        <v>0</v>
      </c>
      <c r="N3" s="1">
        <f>IFERROR(VLOOKUP(C3,Pasted!$A$3:$AD$50,23,0),0)</f>
        <v>0</v>
      </c>
      <c r="O3" s="1">
        <f>IFERROR(VLOOKUP(C3,Pasted!$A$3:$AD$50,25,0),0)</f>
        <v>3444</v>
      </c>
      <c r="P3" s="1">
        <f>IFERROR(VLOOKUP(C3,Pasted!$A$3:$AD$50,27,0),0)</f>
        <v>0</v>
      </c>
      <c r="Q3" s="1" t="s">
        <v>329</v>
      </c>
      <c r="R3" s="1">
        <f>IF(OR(VLOOKUP(C3,Pasted!$A$3:$AI$50,35,0)=1,LOWER(VLOOKUP(C3,Pasted!$A$3:$AI$50,35,0))="weekday",LOWER(VLOOKUP(C3,Pasted!$A$3:$AI$50,35,0))="yes"),1,0)</f>
        <v>1</v>
      </c>
    </row>
    <row r="4" spans="1:18">
      <c r="A4" s="3" t="str">
        <f>DAY(VLOOKUP(C4,Pasted!$A$3:$AH$50,34,0))&amp;" "&amp;CHOOSE(MONTH(VLOOKUP(C4,Pasted!$A$3:$AH$50,34,0)),"Jan","Feb","Mar","Apr","May","Jun","Jul","Aug","Sep","Oct","Nov","Dec")&amp;" "&amp;YEAR(VLOOKUP(C4,Pasted!$A$3:$AH$50,34,0))</f>
        <v>12 May 2026</v>
      </c>
      <c r="B4" s="1" t="s">
        <v>301</v>
      </c>
      <c r="C4" s="1" t="s">
        <v>301</v>
      </c>
      <c r="D4" s="1">
        <v>1629</v>
      </c>
      <c r="E4" s="1">
        <f>IFERROR(VLOOKUP(C4,Pasted!$A$3:$AD$50,3,0),0)</f>
        <v>4994</v>
      </c>
      <c r="F4" s="1">
        <f>IFERROR(VLOOKUP(C4,Pasted!$A$3:$AD$50,7,0),0)</f>
        <v>9</v>
      </c>
      <c r="G4" s="1">
        <f>IFERROR(VLOOKUP(C4,Pasted!$A$3:$AD$50,9,0),0)</f>
        <v>0</v>
      </c>
      <c r="H4" s="1">
        <f>IFERROR(VLOOKUP(C4,Pasted!$A$3:$AD$50,11,0),0)</f>
        <v>0</v>
      </c>
      <c r="I4" s="1">
        <f>IFERROR(VLOOKUP(C4,Pasted!$A$3:$AD$50,13,0),0)</f>
        <v>2404</v>
      </c>
      <c r="J4" s="1">
        <f>IFERROR(VLOOKUP(C4,Pasted!$A$3:$AD$50,15,0),0)</f>
        <v>0</v>
      </c>
      <c r="K4" s="1">
        <f>IFERROR(VLOOKUP(C4,Pasted!$A$3:$AD$50,17,0),0)</f>
        <v>0</v>
      </c>
      <c r="L4" s="1">
        <f>IFERROR(VLOOKUP(C4,Pasted!$A$3:$AD$50,19,0),0)</f>
        <v>0</v>
      </c>
      <c r="M4" s="1">
        <f>IFERROR(VLOOKUP(C4,Pasted!$A$3:$AD$50,21,0),0)</f>
        <v>0</v>
      </c>
      <c r="N4" s="1">
        <f>IFERROR(VLOOKUP(C4,Pasted!$A$3:$AD$50,23,0),0)</f>
        <v>0</v>
      </c>
      <c r="O4" s="1">
        <f>IFERROR(VLOOKUP(C4,Pasted!$A$3:$AD$50,25,0),0)</f>
        <v>2581</v>
      </c>
      <c r="P4" s="1">
        <f>IFERROR(VLOOKUP(C4,Pasted!$A$3:$AD$50,27,0),0)</f>
        <v>0</v>
      </c>
      <c r="Q4" s="1" t="s">
        <v>329</v>
      </c>
      <c r="R4" s="1">
        <f>IF(OR(VLOOKUP(C4,Pasted!$A$3:$AI$50,35,0)=1,LOWER(VLOOKUP(C4,Pasted!$A$3:$AI$50,35,0))="weekday",LOWER(VLOOKUP(C4,Pasted!$A$3:$AI$50,35,0))="yes"),1,0)</f>
        <v>1</v>
      </c>
    </row>
    <row r="5" spans="1:18">
      <c r="A5" s="3" t="str">
        <f>DAY(VLOOKUP(C5,Pasted!$A$3:$AH$50,34,0))&amp;" "&amp;CHOOSE(MONTH(VLOOKUP(C5,Pasted!$A$3:$AH$50,34,0)),"Jan","Feb","Mar","Apr","May","Jun","Jul","Aug","Sep","Oct","Nov","Dec")&amp;" "&amp;YEAR(VLOOKUP(C5,Pasted!$A$3:$AH$50,34,0))</f>
        <v>12 May 2026</v>
      </c>
      <c r="B5" s="1" t="s">
        <v>291</v>
      </c>
      <c r="C5" s="1" t="s">
        <v>291</v>
      </c>
      <c r="D5" s="1">
        <v>1639</v>
      </c>
      <c r="E5" s="1">
        <f>IFERROR(VLOOKUP(C5,Pasted!$A$3:$AD$50,3,0),0)</f>
        <v>22379</v>
      </c>
      <c r="F5" s="1">
        <f>IFERROR(VLOOKUP(C5,Pasted!$A$3:$AD$50,7,0),0)</f>
        <v>415</v>
      </c>
      <c r="G5" s="1">
        <f>IFERROR(VLOOKUP(C5,Pasted!$A$3:$AD$50,9,0),0)</f>
        <v>1364</v>
      </c>
      <c r="H5" s="1">
        <f>IFERROR(VLOOKUP(C5,Pasted!$A$3:$AD$50,11,0),0)</f>
        <v>935</v>
      </c>
      <c r="I5" s="1">
        <f>IFERROR(VLOOKUP(C5,Pasted!$A$3:$AD$50,13,0),0)</f>
        <v>2356</v>
      </c>
      <c r="J5" s="1">
        <f>IFERROR(VLOOKUP(C5,Pasted!$A$3:$AD$50,15,0),0)</f>
        <v>0</v>
      </c>
      <c r="K5" s="1">
        <f>IFERROR(VLOOKUP(C5,Pasted!$A$3:$AD$50,17,0),0)</f>
        <v>133</v>
      </c>
      <c r="L5" s="1">
        <f>IFERROR(VLOOKUP(C5,Pasted!$A$3:$AD$50,19,0),0)</f>
        <v>3138</v>
      </c>
      <c r="M5" s="1">
        <f>IFERROR(VLOOKUP(C5,Pasted!$A$3:$AD$50,21,0),0)</f>
        <v>0</v>
      </c>
      <c r="N5" s="1">
        <f>IFERROR(VLOOKUP(C5,Pasted!$A$3:$AD$50,23,0),0)</f>
        <v>52</v>
      </c>
      <c r="O5" s="1">
        <f>IFERROR(VLOOKUP(C5,Pasted!$A$3:$AD$50,25,0),0)</f>
        <v>2560</v>
      </c>
      <c r="P5" s="1">
        <f>IFERROR(VLOOKUP(C5,Pasted!$A$3:$AD$50,27,0),0)</f>
        <v>0</v>
      </c>
      <c r="Q5" s="1" t="s">
        <v>329</v>
      </c>
      <c r="R5" s="1">
        <f>IF(OR(VLOOKUP(C5,Pasted!$A$3:$AI$50,35,0)=1,LOWER(VLOOKUP(C5,Pasted!$A$3:$AI$50,35,0))="weekday",LOWER(VLOOKUP(C5,Pasted!$A$3:$AI$50,35,0))="yes"),1,0)</f>
        <v>1</v>
      </c>
    </row>
    <row r="6" spans="1:18">
      <c r="A6" s="3" t="str">
        <f>DAY(VLOOKUP(C6,Pasted!$A$3:$AH$50,34,0))&amp;" "&amp;CHOOSE(MONTH(VLOOKUP(C6,Pasted!$A$3:$AH$50,34,0)),"Jan","Feb","Mar","Apr","May","Jun","Jul","Aug","Sep","Oct","Nov","Dec")&amp;" "&amp;YEAR(VLOOKUP(C6,Pasted!$A$3:$AH$50,34,0))</f>
        <v>12 May 2026</v>
      </c>
      <c r="B6" s="1" t="s">
        <v>226</v>
      </c>
      <c r="C6" s="1" t="s">
        <v>226</v>
      </c>
      <c r="D6" s="1">
        <v>1622</v>
      </c>
      <c r="E6" s="1">
        <f>IFERROR(VLOOKUP(C6,Pasted!$A$3:$AD$50,3,0),0)</f>
        <v>32399</v>
      </c>
      <c r="F6" s="1">
        <f>IFERROR(VLOOKUP(C6,Pasted!$A$3:$AD$50,7,0),0)</f>
        <v>2015</v>
      </c>
      <c r="G6" s="1">
        <f>IFERROR(VLOOKUP(C6,Pasted!$A$3:$AD$50,9,0),0)</f>
        <v>553</v>
      </c>
      <c r="H6" s="1">
        <f>IFERROR(VLOOKUP(C6,Pasted!$A$3:$AD$50,11,0),0)</f>
        <v>2297</v>
      </c>
      <c r="I6" s="1">
        <f>IFERROR(VLOOKUP(C6,Pasted!$A$3:$AD$50,13,0),0)</f>
        <v>2431</v>
      </c>
      <c r="J6" s="1">
        <f>IFERROR(VLOOKUP(C6,Pasted!$A$3:$AD$50,15,0),0)</f>
        <v>0</v>
      </c>
      <c r="K6" s="1">
        <f>IFERROR(VLOOKUP(C6,Pasted!$A$3:$AD$50,17,0),0)</f>
        <v>1184</v>
      </c>
      <c r="L6" s="1">
        <f>IFERROR(VLOOKUP(C6,Pasted!$A$3:$AD$50,19,0),0)</f>
        <v>3958</v>
      </c>
      <c r="M6" s="1">
        <f>IFERROR(VLOOKUP(C6,Pasted!$A$3:$AD$50,21,0),0)</f>
        <v>0</v>
      </c>
      <c r="N6" s="1">
        <f>IFERROR(VLOOKUP(C6,Pasted!$A$3:$AD$50,23,0),0)</f>
        <v>4244</v>
      </c>
      <c r="O6" s="1">
        <f>IFERROR(VLOOKUP(C6,Pasted!$A$3:$AD$50,25,0),0)</f>
        <v>634</v>
      </c>
      <c r="P6" s="1">
        <f>IFERROR(VLOOKUP(C6,Pasted!$A$3:$AD$50,27,0),0)</f>
        <v>0</v>
      </c>
      <c r="Q6" s="1" t="s">
        <v>329</v>
      </c>
      <c r="R6" s="1">
        <f>IF(OR(VLOOKUP(C6,Pasted!$A$3:$AI$50,35,0)=1,LOWER(VLOOKUP(C6,Pasted!$A$3:$AI$50,35,0))="weekday",LOWER(VLOOKUP(C6,Pasted!$A$3:$AI$50,35,0))="yes"),1,0)</f>
        <v>1</v>
      </c>
    </row>
    <row r="7" spans="1:18">
      <c r="A7" s="3" t="str">
        <f>DAY(VLOOKUP(C7,Pasted!$A$3:$AH$50,34,0))&amp;" "&amp;CHOOSE(MONTH(VLOOKUP(C7,Pasted!$A$3:$AH$50,34,0)),"Jan","Feb","Mar","Apr","May","Jun","Jul","Aug","Sep","Oct","Nov","Dec")&amp;" "&amp;YEAR(VLOOKUP(C7,Pasted!$A$3:$AH$50,34,0))</f>
        <v>12 May 2026</v>
      </c>
      <c r="B7" s="1" t="s">
        <v>273</v>
      </c>
      <c r="C7" s="1" t="s">
        <v>273</v>
      </c>
      <c r="D7" s="1">
        <v>1652</v>
      </c>
      <c r="E7" s="1">
        <f>IFERROR(VLOOKUP(C7,Pasted!$A$3:$AD$50,3,0),0)</f>
        <v>23102</v>
      </c>
      <c r="F7" s="1">
        <f>IFERROR(VLOOKUP(C7,Pasted!$A$3:$AD$50,7,0),0)</f>
        <v>620</v>
      </c>
      <c r="G7" s="1">
        <f>IFERROR(VLOOKUP(C7,Pasted!$A$3:$AD$50,9,0),0)</f>
        <v>0</v>
      </c>
      <c r="H7" s="1">
        <f>IFERROR(VLOOKUP(C7,Pasted!$A$3:$AD$50,11,0),0)</f>
        <v>418</v>
      </c>
      <c r="I7" s="1">
        <f>IFERROR(VLOOKUP(C7,Pasted!$A$3:$AD$50,13,0),0)</f>
        <v>2400</v>
      </c>
      <c r="J7" s="1">
        <f>IFERROR(VLOOKUP(C7,Pasted!$A$3:$AD$50,15,0),0)</f>
        <v>0</v>
      </c>
      <c r="K7" s="1">
        <f>IFERROR(VLOOKUP(C7,Pasted!$A$3:$AD$50,17,0),0)</f>
        <v>586</v>
      </c>
      <c r="L7" s="1">
        <f>IFERROR(VLOOKUP(C7,Pasted!$A$3:$AD$50,19,0),0)</f>
        <v>6226</v>
      </c>
      <c r="M7" s="1">
        <f>IFERROR(VLOOKUP(C7,Pasted!$A$3:$AD$50,21,0),0)</f>
        <v>0</v>
      </c>
      <c r="N7" s="1">
        <f>IFERROR(VLOOKUP(C7,Pasted!$A$3:$AD$50,23,0),0)</f>
        <v>70</v>
      </c>
      <c r="O7" s="1">
        <f>IFERROR(VLOOKUP(C7,Pasted!$A$3:$AD$50,25,0),0)</f>
        <v>3308</v>
      </c>
      <c r="P7" s="1">
        <f>IFERROR(VLOOKUP(C7,Pasted!$A$3:$AD$50,27,0),0)</f>
        <v>0</v>
      </c>
      <c r="Q7" s="1" t="s">
        <v>329</v>
      </c>
      <c r="R7" s="1">
        <f>IF(OR(VLOOKUP(C7,Pasted!$A$3:$AI$50,35,0)=1,LOWER(VLOOKUP(C7,Pasted!$A$3:$AI$50,35,0))="weekday",LOWER(VLOOKUP(C7,Pasted!$A$3:$AI$50,35,0))="yes"),1,0)</f>
        <v>1</v>
      </c>
    </row>
    <row r="8" spans="1:18">
      <c r="A8" s="3" t="str">
        <f>DAY(VLOOKUP(C8,Pasted!$A$3:$AH$50,34,0))&amp;" "&amp;CHOOSE(MONTH(VLOOKUP(C8,Pasted!$A$3:$AH$50,34,0)),"Jan","Feb","Mar","Apr","May","Jun","Jul","Aug","Sep","Oct","Nov","Dec")&amp;" "&amp;YEAR(VLOOKUP(C8,Pasted!$A$3:$AH$50,34,0))</f>
        <v>12 May 2026</v>
      </c>
      <c r="B8" s="1" t="s">
        <v>184</v>
      </c>
      <c r="C8" s="1" t="s">
        <v>184</v>
      </c>
      <c r="D8" s="1">
        <v>1635</v>
      </c>
      <c r="E8" s="1">
        <f>IFERROR(VLOOKUP(C8,Pasted!$A$3:$AD$50,3,0),0)</f>
        <v>33658</v>
      </c>
      <c r="F8" s="1">
        <f>IFERROR(VLOOKUP(C8,Pasted!$A$3:$AD$50,7,0),0)</f>
        <v>1291</v>
      </c>
      <c r="G8" s="1">
        <f>IFERROR(VLOOKUP(C8,Pasted!$A$3:$AD$50,9,0),0)</f>
        <v>1481</v>
      </c>
      <c r="H8" s="1">
        <f>IFERROR(VLOOKUP(C8,Pasted!$A$3:$AD$50,11,0),0)</f>
        <v>2653</v>
      </c>
      <c r="I8" s="1">
        <f>IFERROR(VLOOKUP(C8,Pasted!$A$3:$AD$50,13,0),0)</f>
        <v>2376</v>
      </c>
      <c r="J8" s="1">
        <f>IFERROR(VLOOKUP(C8,Pasted!$A$3:$AD$50,15,0),0)</f>
        <v>0</v>
      </c>
      <c r="K8" s="1">
        <f>IFERROR(VLOOKUP(C8,Pasted!$A$3:$AD$50,17,0),0)</f>
        <v>3268</v>
      </c>
      <c r="L8" s="1">
        <f>IFERROR(VLOOKUP(C8,Pasted!$A$3:$AD$50,19,0),0)</f>
        <v>5844</v>
      </c>
      <c r="M8" s="1">
        <f>IFERROR(VLOOKUP(C8,Pasted!$A$3:$AD$50,21,0),0)</f>
        <v>0</v>
      </c>
      <c r="N8" s="1">
        <f>IFERROR(VLOOKUP(C8,Pasted!$A$3:$AD$50,23,0),0)</f>
        <v>0</v>
      </c>
      <c r="O8" s="1">
        <f>IFERROR(VLOOKUP(C8,Pasted!$A$3:$AD$50,25,0),0)</f>
        <v>2314</v>
      </c>
      <c r="P8" s="1">
        <f>IFERROR(VLOOKUP(C8,Pasted!$A$3:$AD$50,27,0),0)</f>
        <v>0</v>
      </c>
      <c r="Q8" s="1" t="s">
        <v>329</v>
      </c>
      <c r="R8" s="1">
        <f>IF(OR(VLOOKUP(C8,Pasted!$A$3:$AI$50,35,0)=1,LOWER(VLOOKUP(C8,Pasted!$A$3:$AI$50,35,0))="weekday",LOWER(VLOOKUP(C8,Pasted!$A$3:$AI$50,35,0))="yes"),1,0)</f>
        <v>1</v>
      </c>
    </row>
    <row r="9" spans="1:18">
      <c r="A9" s="3" t="str">
        <f>DAY(VLOOKUP(C9,Pasted!$A$3:$AH$50,34,0))&amp;" "&amp;CHOOSE(MONTH(VLOOKUP(C9,Pasted!$A$3:$AH$50,34,0)),"Jan","Feb","Mar","Apr","May","Jun","Jul","Aug","Sep","Oct","Nov","Dec")&amp;" "&amp;YEAR(VLOOKUP(C9,Pasted!$A$3:$AH$50,34,0))</f>
        <v>12 May 2026</v>
      </c>
      <c r="B9" s="1" t="s">
        <v>40</v>
      </c>
      <c r="C9" s="1" t="s">
        <v>40</v>
      </c>
      <c r="D9" s="1">
        <v>1654</v>
      </c>
      <c r="E9" s="1">
        <f>IFERROR(VLOOKUP(C9,Pasted!$A$3:$AD$50,3,0),0)</f>
        <v>34060</v>
      </c>
      <c r="F9" s="1">
        <f>IFERROR(VLOOKUP(C9,Pasted!$A$3:$AD$50,7,0),0)</f>
        <v>5</v>
      </c>
      <c r="G9" s="1">
        <f>IFERROR(VLOOKUP(C9,Pasted!$A$3:$AD$50,9,0),0)</f>
        <v>2052</v>
      </c>
      <c r="H9" s="1">
        <f>IFERROR(VLOOKUP(C9,Pasted!$A$3:$AD$50,11,0),0)</f>
        <v>386</v>
      </c>
      <c r="I9" s="1">
        <f>IFERROR(VLOOKUP(C9,Pasted!$A$3:$AD$50,13,0),0)</f>
        <v>2434</v>
      </c>
      <c r="J9" s="1">
        <f>IFERROR(VLOOKUP(C9,Pasted!$A$3:$AD$50,15,0),0)</f>
        <v>27133</v>
      </c>
      <c r="K9" s="1">
        <f>IFERROR(VLOOKUP(C9,Pasted!$A$3:$AD$50,17,0),0)</f>
        <v>0</v>
      </c>
      <c r="L9" s="1">
        <f>IFERROR(VLOOKUP(C9,Pasted!$A$3:$AD$50,19,0),0)</f>
        <v>0</v>
      </c>
      <c r="M9" s="1">
        <f>IFERROR(VLOOKUP(C9,Pasted!$A$3:$AD$50,21,0),0)</f>
        <v>0</v>
      </c>
      <c r="N9" s="1">
        <f>IFERROR(VLOOKUP(C9,Pasted!$A$3:$AD$50,23,0),0)</f>
        <v>0</v>
      </c>
      <c r="O9" s="1">
        <f>IFERROR(VLOOKUP(C9,Pasted!$A$3:$AD$50,25,0),0)</f>
        <v>2050</v>
      </c>
      <c r="P9" s="1">
        <f>IFERROR(VLOOKUP(C9,Pasted!$A$3:$AD$50,27,0),0)</f>
        <v>0</v>
      </c>
      <c r="Q9" s="1" t="s">
        <v>329</v>
      </c>
      <c r="R9" s="1">
        <f>IF(OR(VLOOKUP(C9,Pasted!$A$3:$AI$50,35,0)=1,LOWER(VLOOKUP(C9,Pasted!$A$3:$AI$50,35,0))="weekday",LOWER(VLOOKUP(C9,Pasted!$A$3:$AI$50,35,0))="yes"),1,0)</f>
        <v>1</v>
      </c>
    </row>
    <row r="10" spans="1:18">
      <c r="A10" s="3" t="str">
        <f>DAY(VLOOKUP(C10,Pasted!$A$3:$AH$50,34,0))&amp;" "&amp;CHOOSE(MONTH(VLOOKUP(C10,Pasted!$A$3:$AH$50,34,0)),"Jan","Feb","Mar","Apr","May","Jun","Jul","Aug","Sep","Oct","Nov","Dec")&amp;" "&amp;YEAR(VLOOKUP(C10,Pasted!$A$3:$AH$50,34,0))</f>
        <v>12 May 2026</v>
      </c>
      <c r="B10" s="1" t="s">
        <v>210</v>
      </c>
      <c r="C10" s="1" t="s">
        <v>210</v>
      </c>
      <c r="D10" s="1">
        <v>1624</v>
      </c>
      <c r="E10" s="1">
        <f>IFERROR(VLOOKUP(C10,Pasted!$A$3:$AD$50,3,0),0)</f>
        <v>35162</v>
      </c>
      <c r="F10" s="1">
        <f>IFERROR(VLOOKUP(C10,Pasted!$A$3:$AD$50,7,0),0)</f>
        <v>2152</v>
      </c>
      <c r="G10" s="1">
        <f>IFERROR(VLOOKUP(C10,Pasted!$A$3:$AD$50,9,0),0)</f>
        <v>0</v>
      </c>
      <c r="H10" s="1">
        <f>IFERROR(VLOOKUP(C10,Pasted!$A$3:$AD$50,11,0),0)</f>
        <v>3442</v>
      </c>
      <c r="I10" s="1">
        <f>IFERROR(VLOOKUP(C10,Pasted!$A$3:$AD$50,13,0),0)</f>
        <v>2161</v>
      </c>
      <c r="J10" s="1">
        <f>IFERROR(VLOOKUP(C10,Pasted!$A$3:$AD$50,15,0),0)</f>
        <v>0</v>
      </c>
      <c r="K10" s="1">
        <f>IFERROR(VLOOKUP(C10,Pasted!$A$3:$AD$50,17,0),0)</f>
        <v>0</v>
      </c>
      <c r="L10" s="1">
        <f>IFERROR(VLOOKUP(C10,Pasted!$A$3:$AD$50,19,0),0)</f>
        <v>7582</v>
      </c>
      <c r="M10" s="1">
        <f>IFERROR(VLOOKUP(C10,Pasted!$A$3:$AD$50,21,0),0)</f>
        <v>0</v>
      </c>
      <c r="N10" s="1">
        <f>IFERROR(VLOOKUP(C10,Pasted!$A$3:$AD$50,23,0),0)</f>
        <v>0</v>
      </c>
      <c r="O10" s="1">
        <f>IFERROR(VLOOKUP(C10,Pasted!$A$3:$AD$50,25,0),0)</f>
        <v>2303</v>
      </c>
      <c r="P10" s="1">
        <f>IFERROR(VLOOKUP(C10,Pasted!$A$3:$AD$50,27,0),0)</f>
        <v>0</v>
      </c>
      <c r="Q10" s="1" t="s">
        <v>329</v>
      </c>
      <c r="R10" s="1">
        <f>IF(OR(VLOOKUP(C10,Pasted!$A$3:$AI$50,35,0)=1,LOWER(VLOOKUP(C10,Pasted!$A$3:$AI$50,35,0))="weekday",LOWER(VLOOKUP(C10,Pasted!$A$3:$AI$50,35,0))="yes"),1,0)</f>
        <v>1</v>
      </c>
    </row>
    <row r="11" spans="1:18">
      <c r="A11" s="3" t="str">
        <f>DAY(VLOOKUP(C11,Pasted!$A$3:$AH$50,34,0))&amp;" "&amp;CHOOSE(MONTH(VLOOKUP(C11,Pasted!$A$3:$AH$50,34,0)),"Jan","Feb","Mar","Apr","May","Jun","Jul","Aug","Sep","Oct","Nov","Dec")&amp;" "&amp;YEAR(VLOOKUP(C11,Pasted!$A$3:$AH$50,34,0))</f>
        <v>12 May 2026</v>
      </c>
      <c r="B11" s="1" t="s">
        <v>64</v>
      </c>
      <c r="C11" s="1" t="s">
        <v>64</v>
      </c>
      <c r="D11" s="1">
        <v>1617</v>
      </c>
      <c r="E11" s="1">
        <f>IFERROR(VLOOKUP(C11,Pasted!$A$3:$AD$50,3,0),0)</f>
        <v>33057</v>
      </c>
      <c r="F11" s="1">
        <f>IFERROR(VLOOKUP(C11,Pasted!$A$3:$AD$50,7,0),0)</f>
        <v>5</v>
      </c>
      <c r="G11" s="1">
        <f>IFERROR(VLOOKUP(C11,Pasted!$A$3:$AD$50,9,0),0)</f>
        <v>2056</v>
      </c>
      <c r="H11" s="1">
        <f>IFERROR(VLOOKUP(C11,Pasted!$A$3:$AD$50,11,0),0)</f>
        <v>516</v>
      </c>
      <c r="I11" s="1">
        <f>IFERROR(VLOOKUP(C11,Pasted!$A$3:$AD$50,13,0),0)</f>
        <v>2385</v>
      </c>
      <c r="J11" s="1">
        <f>IFERROR(VLOOKUP(C11,Pasted!$A$3:$AD$50,15,0),0)</f>
        <v>27350</v>
      </c>
      <c r="K11" s="1">
        <f>IFERROR(VLOOKUP(C11,Pasted!$A$3:$AD$50,17,0),0)</f>
        <v>0</v>
      </c>
      <c r="L11" s="1">
        <f>IFERROR(VLOOKUP(C11,Pasted!$A$3:$AD$50,19,0),0)</f>
        <v>0</v>
      </c>
      <c r="M11" s="1">
        <f>IFERROR(VLOOKUP(C11,Pasted!$A$3:$AD$50,21,0),0)</f>
        <v>0</v>
      </c>
      <c r="N11" s="1">
        <f>IFERROR(VLOOKUP(C11,Pasted!$A$3:$AD$50,23,0),0)</f>
        <v>0</v>
      </c>
      <c r="O11" s="1">
        <f>IFERROR(VLOOKUP(C11,Pasted!$A$3:$AD$50,25,0),0)</f>
        <v>745</v>
      </c>
      <c r="P11" s="1">
        <f>IFERROR(VLOOKUP(C11,Pasted!$A$3:$AD$50,27,0),0)</f>
        <v>0</v>
      </c>
      <c r="Q11" s="1" t="s">
        <v>329</v>
      </c>
      <c r="R11" s="1">
        <f>IF(OR(VLOOKUP(C11,Pasted!$A$3:$AI$50,35,0)=1,LOWER(VLOOKUP(C11,Pasted!$A$3:$AI$50,35,0))="weekday",LOWER(VLOOKUP(C11,Pasted!$A$3:$AI$50,35,0))="yes"),1,0)</f>
        <v>1</v>
      </c>
    </row>
    <row r="12" spans="1:18">
      <c r="A12" s="3" t="str">
        <f>DAY(VLOOKUP(C12,Pasted!$A$3:$AH$50,34,0))&amp;" "&amp;CHOOSE(MONTH(VLOOKUP(C12,Pasted!$A$3:$AH$50,34,0)),"Jan","Feb","Mar","Apr","May","Jun","Jul","Aug","Sep","Oct","Nov","Dec")&amp;" "&amp;YEAR(VLOOKUP(C12,Pasted!$A$3:$AH$50,34,0))</f>
        <v>12 May 2026</v>
      </c>
      <c r="B12" s="1" t="s">
        <v>174</v>
      </c>
      <c r="C12" s="1" t="s">
        <v>174</v>
      </c>
      <c r="D12" s="1">
        <v>1628</v>
      </c>
      <c r="E12" s="1">
        <f>IFERROR(VLOOKUP(C12,Pasted!$A$3:$AD$50,3,0),0)</f>
        <v>33332</v>
      </c>
      <c r="F12" s="1">
        <f>IFERROR(VLOOKUP(C12,Pasted!$A$3:$AD$50,7,0),0)</f>
        <v>943</v>
      </c>
      <c r="G12" s="1">
        <f>IFERROR(VLOOKUP(C12,Pasted!$A$3:$AD$50,9,0),0)</f>
        <v>2247</v>
      </c>
      <c r="H12" s="1">
        <f>IFERROR(VLOOKUP(C12,Pasted!$A$3:$AD$50,11,0),0)</f>
        <v>265</v>
      </c>
      <c r="I12" s="1">
        <f>IFERROR(VLOOKUP(C12,Pasted!$A$3:$AD$50,13,0),0)</f>
        <v>2174</v>
      </c>
      <c r="J12" s="1">
        <f>IFERROR(VLOOKUP(C12,Pasted!$A$3:$AD$50,15,0),0)</f>
        <v>0</v>
      </c>
      <c r="K12" s="1">
        <f>IFERROR(VLOOKUP(C12,Pasted!$A$3:$AD$50,17,0),0)</f>
        <v>482</v>
      </c>
      <c r="L12" s="1">
        <f>IFERROR(VLOOKUP(C12,Pasted!$A$3:$AD$50,19,0),0)</f>
        <v>12295</v>
      </c>
      <c r="M12" s="1">
        <f>IFERROR(VLOOKUP(C12,Pasted!$A$3:$AD$50,21,0),0)</f>
        <v>0</v>
      </c>
      <c r="N12" s="1">
        <f>IFERROR(VLOOKUP(C12,Pasted!$A$3:$AD$50,23,0),0)</f>
        <v>0</v>
      </c>
      <c r="O12" s="1">
        <f>IFERROR(VLOOKUP(C12,Pasted!$A$3:$AD$50,25,0),0)</f>
        <v>1055</v>
      </c>
      <c r="P12" s="1">
        <f>IFERROR(VLOOKUP(C12,Pasted!$A$3:$AD$50,27,0),0)</f>
        <v>0</v>
      </c>
      <c r="Q12" s="1" t="s">
        <v>329</v>
      </c>
      <c r="R12" s="1">
        <f>IF(OR(VLOOKUP(C12,Pasted!$A$3:$AI$50,35,0)=1,LOWER(VLOOKUP(C12,Pasted!$A$3:$AI$50,35,0))="weekday",LOWER(VLOOKUP(C12,Pasted!$A$3:$AI$50,35,0))="yes"),1,0)</f>
        <v>1</v>
      </c>
    </row>
    <row r="13" spans="1:18">
      <c r="A13" s="3" t="str">
        <f>DAY(VLOOKUP(C13,Pasted!$A$3:$AH$50,34,0))&amp;" "&amp;CHOOSE(MONTH(VLOOKUP(C13,Pasted!$A$3:$AH$50,34,0)),"Jan","Feb","Mar","Apr","May","Jun","Jul","Aug","Sep","Oct","Nov","Dec")&amp;" "&amp;YEAR(VLOOKUP(C13,Pasted!$A$3:$AH$50,34,0))</f>
        <v>12 May 2026</v>
      </c>
      <c r="B13" s="1" t="s">
        <v>81</v>
      </c>
      <c r="C13" s="1" t="s">
        <v>81</v>
      </c>
      <c r="D13" s="1">
        <v>1638</v>
      </c>
      <c r="E13" s="1">
        <f>IFERROR(VLOOKUP(C13,Pasted!$A$3:$AD$50,3,0),0)</f>
        <v>39426</v>
      </c>
      <c r="F13" s="1">
        <f>IFERROR(VLOOKUP(C13,Pasted!$A$3:$AD$50,7,0),0)</f>
        <v>1233</v>
      </c>
      <c r="G13" s="1">
        <f>IFERROR(VLOOKUP(C13,Pasted!$A$3:$AD$50,9,0),0)</f>
        <v>1815</v>
      </c>
      <c r="H13" s="1">
        <f>IFERROR(VLOOKUP(C13,Pasted!$A$3:$AD$50,11,0),0)</f>
        <v>221</v>
      </c>
      <c r="I13" s="1">
        <f>IFERROR(VLOOKUP(C13,Pasted!$A$3:$AD$50,13,0),0)</f>
        <v>2463</v>
      </c>
      <c r="J13" s="1">
        <f>IFERROR(VLOOKUP(C13,Pasted!$A$3:$AD$50,15,0),0)</f>
        <v>1492</v>
      </c>
      <c r="K13" s="1">
        <f>IFERROR(VLOOKUP(C13,Pasted!$A$3:$AD$50,17,0),0)</f>
        <v>14245</v>
      </c>
      <c r="L13" s="1">
        <f>IFERROR(VLOOKUP(C13,Pasted!$A$3:$AD$50,19,0),0)</f>
        <v>6543</v>
      </c>
      <c r="M13" s="1">
        <f>IFERROR(VLOOKUP(C13,Pasted!$A$3:$AD$50,21,0),0)</f>
        <v>0</v>
      </c>
      <c r="N13" s="1">
        <f>IFERROR(VLOOKUP(C13,Pasted!$A$3:$AD$50,23,0),0)</f>
        <v>7</v>
      </c>
      <c r="O13" s="1">
        <f>IFERROR(VLOOKUP(C13,Pasted!$A$3:$AD$50,25,0),0)</f>
        <v>811</v>
      </c>
      <c r="P13" s="1">
        <f>IFERROR(VLOOKUP(C13,Pasted!$A$3:$AD$50,27,0),0)</f>
        <v>0</v>
      </c>
      <c r="Q13" s="1" t="s">
        <v>329</v>
      </c>
      <c r="R13" s="1">
        <f>IF(OR(VLOOKUP(C13,Pasted!$A$3:$AI$50,35,0)=1,LOWER(VLOOKUP(C13,Pasted!$A$3:$AI$50,35,0))="weekday",LOWER(VLOOKUP(C13,Pasted!$A$3:$AI$50,35,0))="yes"),1,0)</f>
        <v>1</v>
      </c>
    </row>
    <row r="14" spans="1:18">
      <c r="A14" s="3" t="str">
        <f>DAY(VLOOKUP(C14,Pasted!$A$3:$AH$50,34,0))&amp;" "&amp;CHOOSE(MONTH(VLOOKUP(C14,Pasted!$A$3:$AH$50,34,0)),"Jan","Feb","Mar","Apr","May","Jun","Jul","Aug","Sep","Oct","Nov","Dec")&amp;" "&amp;YEAR(VLOOKUP(C14,Pasted!$A$3:$AH$50,34,0))</f>
        <v>12 May 2026</v>
      </c>
      <c r="B14" s="1" t="s">
        <v>102</v>
      </c>
      <c r="C14" s="1" t="s">
        <v>102</v>
      </c>
      <c r="D14" s="1">
        <v>1626</v>
      </c>
      <c r="E14" s="1">
        <f>IFERROR(VLOOKUP(C14,Pasted!$A$3:$AD$50,3,0),0)</f>
        <v>35641</v>
      </c>
      <c r="F14" s="1">
        <f>IFERROR(VLOOKUP(C14,Pasted!$A$3:$AD$50,7,0),0)</f>
        <v>2313</v>
      </c>
      <c r="G14" s="1">
        <f>IFERROR(VLOOKUP(C14,Pasted!$A$3:$AD$50,9,0),0)</f>
        <v>1976</v>
      </c>
      <c r="H14" s="1">
        <f>IFERROR(VLOOKUP(C14,Pasted!$A$3:$AD$50,11,0),0)</f>
        <v>949</v>
      </c>
      <c r="I14" s="1">
        <f>IFERROR(VLOOKUP(C14,Pasted!$A$3:$AD$50,13,0),0)</f>
        <v>2041</v>
      </c>
      <c r="J14" s="1">
        <f>IFERROR(VLOOKUP(C14,Pasted!$A$3:$AD$50,15,0),0)</f>
        <v>0</v>
      </c>
      <c r="K14" s="1">
        <f>IFERROR(VLOOKUP(C14,Pasted!$A$3:$AD$50,17,0),0)</f>
        <v>7430</v>
      </c>
      <c r="L14" s="1">
        <f>IFERROR(VLOOKUP(C14,Pasted!$A$3:$AD$50,19,0),0)</f>
        <v>6373</v>
      </c>
      <c r="M14" s="1">
        <f>IFERROR(VLOOKUP(C14,Pasted!$A$3:$AD$50,21,0),0)</f>
        <v>0</v>
      </c>
      <c r="N14" s="1">
        <f>IFERROR(VLOOKUP(C14,Pasted!$A$3:$AD$50,23,0),0)</f>
        <v>2558</v>
      </c>
      <c r="O14" s="1">
        <f>IFERROR(VLOOKUP(C14,Pasted!$A$3:$AD$50,25,0),0)</f>
        <v>3367</v>
      </c>
      <c r="P14" s="1">
        <f>IFERROR(VLOOKUP(C14,Pasted!$A$3:$AD$50,27,0),0)</f>
        <v>0</v>
      </c>
      <c r="Q14" s="1" t="s">
        <v>329</v>
      </c>
      <c r="R14" s="1">
        <f>IF(OR(VLOOKUP(C14,Pasted!$A$3:$AI$50,35,0)=1,LOWER(VLOOKUP(C14,Pasted!$A$3:$AI$50,35,0))="weekday",LOWER(VLOOKUP(C14,Pasted!$A$3:$AI$50,35,0))="yes"),1,0)</f>
        <v>1</v>
      </c>
    </row>
    <row r="15" spans="1:18">
      <c r="A15" s="3" t="str">
        <f>DAY(VLOOKUP(C15,Pasted!$A$3:$AH$50,34,0))&amp;" "&amp;CHOOSE(MONTH(VLOOKUP(C15,Pasted!$A$3:$AH$50,34,0)),"Jan","Feb","Mar","Apr","May","Jun","Jul","Aug","Sep","Oct","Nov","Dec")&amp;" "&amp;YEAR(VLOOKUP(C15,Pasted!$A$3:$AH$50,34,0))</f>
        <v>12 May 2026</v>
      </c>
      <c r="B15" s="1" t="s">
        <v>139</v>
      </c>
      <c r="C15" s="1" t="s">
        <v>139</v>
      </c>
      <c r="D15" s="1">
        <v>1627</v>
      </c>
      <c r="E15" s="1">
        <f>IFERROR(VLOOKUP(C15,Pasted!$A$3:$AD$50,3,0),0)</f>
        <v>34458</v>
      </c>
      <c r="F15" s="1">
        <f>IFERROR(VLOOKUP(C15,Pasted!$A$3:$AD$50,7,0),0)</f>
        <v>4623</v>
      </c>
      <c r="G15" s="1">
        <f>IFERROR(VLOOKUP(C15,Pasted!$A$3:$AD$50,9,0),0)</f>
        <v>0</v>
      </c>
      <c r="H15" s="1">
        <f>IFERROR(VLOOKUP(C15,Pasted!$A$3:$AD$50,11,0),0)</f>
        <v>864</v>
      </c>
      <c r="I15" s="1">
        <f>IFERROR(VLOOKUP(C15,Pasted!$A$3:$AD$50,13,0),0)</f>
        <v>2164</v>
      </c>
      <c r="J15" s="1">
        <f>IFERROR(VLOOKUP(C15,Pasted!$A$3:$AD$50,15,0),0)</f>
        <v>0</v>
      </c>
      <c r="K15" s="1">
        <f>IFERROR(VLOOKUP(C15,Pasted!$A$3:$AD$50,17,0),0)</f>
        <v>1978</v>
      </c>
      <c r="L15" s="1">
        <f>IFERROR(VLOOKUP(C15,Pasted!$A$3:$AD$50,19,0),0)</f>
        <v>12250</v>
      </c>
      <c r="M15" s="1">
        <f>IFERROR(VLOOKUP(C15,Pasted!$A$3:$AD$50,21,0),0)</f>
        <v>0</v>
      </c>
      <c r="N15" s="1">
        <f>IFERROR(VLOOKUP(C15,Pasted!$A$3:$AD$50,23,0),0)</f>
        <v>0</v>
      </c>
      <c r="O15" s="1">
        <f>IFERROR(VLOOKUP(C15,Pasted!$A$3:$AD$50,25,0),0)</f>
        <v>0</v>
      </c>
      <c r="P15" s="1">
        <f>IFERROR(VLOOKUP(C15,Pasted!$A$3:$AD$50,27,0),0)</f>
        <v>0</v>
      </c>
      <c r="Q15" s="1" t="s">
        <v>329</v>
      </c>
      <c r="R15" s="1">
        <f>IF(OR(VLOOKUP(C15,Pasted!$A$3:$AI$50,35,0)=1,LOWER(VLOOKUP(C15,Pasted!$A$3:$AI$50,35,0))="weekday",LOWER(VLOOKUP(C15,Pasted!$A$3:$AI$50,35,0))="yes"),1,0)</f>
        <v>1</v>
      </c>
    </row>
    <row r="16" spans="1:18">
      <c r="A16" s="3" t="str">
        <f>DAY(VLOOKUP(C16,Pasted!$A$3:$AH$50,34,0))&amp;" "&amp;CHOOSE(MONTH(VLOOKUP(C16,Pasted!$A$3:$AH$50,34,0)),"Jan","Feb","Mar","Apr","May","Jun","Jul","Aug","Sep","Oct","Nov","Dec")&amp;" "&amp;YEAR(VLOOKUP(C16,Pasted!$A$3:$AH$50,34,0))</f>
        <v>12 May 2026</v>
      </c>
      <c r="B16" s="1" t="s">
        <v>203</v>
      </c>
      <c r="C16" s="1" t="s">
        <v>203</v>
      </c>
      <c r="D16" s="1">
        <v>1642</v>
      </c>
      <c r="E16" s="1">
        <f>IFERROR(VLOOKUP(C16,Pasted!$A$3:$AD$50,3,0),0)</f>
        <v>34106</v>
      </c>
      <c r="F16" s="1">
        <f>IFERROR(VLOOKUP(C16,Pasted!$A$3:$AD$50,7,0),0)</f>
        <v>3252</v>
      </c>
      <c r="G16" s="1">
        <f>IFERROR(VLOOKUP(C16,Pasted!$A$3:$AD$50,9,0),0)</f>
        <v>0</v>
      </c>
      <c r="H16" s="1">
        <f>IFERROR(VLOOKUP(C16,Pasted!$A$3:$AD$50,11,0),0)</f>
        <v>600</v>
      </c>
      <c r="I16" s="1">
        <f>IFERROR(VLOOKUP(C16,Pasted!$A$3:$AD$50,13,0),0)</f>
        <v>2227</v>
      </c>
      <c r="J16" s="1">
        <f>IFERROR(VLOOKUP(C16,Pasted!$A$3:$AD$50,15,0),0)</f>
        <v>0</v>
      </c>
      <c r="K16" s="1">
        <f>IFERROR(VLOOKUP(C16,Pasted!$A$3:$AD$50,17,0),0)</f>
        <v>0</v>
      </c>
      <c r="L16" s="1">
        <f>IFERROR(VLOOKUP(C16,Pasted!$A$3:$AD$50,19,0),0)</f>
        <v>11082</v>
      </c>
      <c r="M16" s="1">
        <f>IFERROR(VLOOKUP(C16,Pasted!$A$3:$AD$50,21,0),0)</f>
        <v>0</v>
      </c>
      <c r="N16" s="1">
        <f>IFERROR(VLOOKUP(C16,Pasted!$A$3:$AD$50,23,0),0)</f>
        <v>0</v>
      </c>
      <c r="O16" s="1">
        <f>IFERROR(VLOOKUP(C16,Pasted!$A$3:$AD$50,25,0),0)</f>
        <v>1779</v>
      </c>
      <c r="P16" s="1">
        <f>IFERROR(VLOOKUP(C16,Pasted!$A$3:$AD$50,27,0),0)</f>
        <v>0</v>
      </c>
      <c r="Q16" s="1" t="s">
        <v>329</v>
      </c>
      <c r="R16" s="1">
        <f>IF(OR(VLOOKUP(C16,Pasted!$A$3:$AI$50,35,0)=1,LOWER(VLOOKUP(C16,Pasted!$A$3:$AI$50,35,0))="weekday",LOWER(VLOOKUP(C16,Pasted!$A$3:$AI$50,35,0))="yes"),1,0)</f>
        <v>1</v>
      </c>
    </row>
    <row r="17" spans="1:18">
      <c r="A17" s="3" t="str">
        <f>DAY(VLOOKUP(C17,Pasted!$A$3:$AH$50,34,0))&amp;" "&amp;CHOOSE(MONTH(VLOOKUP(C17,Pasted!$A$3:$AH$50,34,0)),"Jan","Feb","Mar","Apr","May","Jun","Jul","Aug","Sep","Oct","Nov","Dec")&amp;" "&amp;YEAR(VLOOKUP(C17,Pasted!$A$3:$AH$50,34,0))</f>
        <v>12 May 2026</v>
      </c>
      <c r="B17" s="1" t="s">
        <v>264</v>
      </c>
      <c r="C17" s="1" t="s">
        <v>264</v>
      </c>
      <c r="D17" s="1">
        <v>1647</v>
      </c>
      <c r="E17" s="1">
        <f>IFERROR(VLOOKUP(C17,Pasted!$A$3:$AD$50,3,0),0)</f>
        <v>33777</v>
      </c>
      <c r="F17" s="1">
        <f>IFERROR(VLOOKUP(C17,Pasted!$A$3:$AD$50,7,0),0)</f>
        <v>4949</v>
      </c>
      <c r="G17" s="1">
        <f>IFERROR(VLOOKUP(C17,Pasted!$A$3:$AD$50,9,0),0)</f>
        <v>0</v>
      </c>
      <c r="H17" s="1">
        <f>IFERROR(VLOOKUP(C17,Pasted!$A$3:$AD$50,11,0),0)</f>
        <v>1597</v>
      </c>
      <c r="I17" s="1">
        <f>IFERROR(VLOOKUP(C17,Pasted!$A$3:$AD$50,13,0),0)</f>
        <v>2369</v>
      </c>
      <c r="J17" s="1">
        <f>IFERROR(VLOOKUP(C17,Pasted!$A$3:$AD$50,15,0),0)</f>
        <v>0</v>
      </c>
      <c r="K17" s="1">
        <f>IFERROR(VLOOKUP(C17,Pasted!$A$3:$AD$50,17,0),0)</f>
        <v>78</v>
      </c>
      <c r="L17" s="1">
        <f>IFERROR(VLOOKUP(C17,Pasted!$A$3:$AD$50,19,0),0)</f>
        <v>3647</v>
      </c>
      <c r="M17" s="1">
        <f>IFERROR(VLOOKUP(C17,Pasted!$A$3:$AD$50,21,0),0)</f>
        <v>0</v>
      </c>
      <c r="N17" s="1">
        <f>IFERROR(VLOOKUP(C17,Pasted!$A$3:$AD$50,23,0),0)</f>
        <v>170</v>
      </c>
      <c r="O17" s="1">
        <f>IFERROR(VLOOKUP(C17,Pasted!$A$3:$AD$50,25,0),0)</f>
        <v>935</v>
      </c>
      <c r="P17" s="1">
        <f>IFERROR(VLOOKUP(C17,Pasted!$A$3:$AD$50,27,0),0)</f>
        <v>0</v>
      </c>
      <c r="Q17" s="1" t="s">
        <v>329</v>
      </c>
      <c r="R17" s="1">
        <f>IF(OR(VLOOKUP(C17,Pasted!$A$3:$AI$50,35,0)=1,LOWER(VLOOKUP(C17,Pasted!$A$3:$AI$50,35,0))="weekday",LOWER(VLOOKUP(C17,Pasted!$A$3:$AI$50,35,0))="yes"),1,0)</f>
        <v>1</v>
      </c>
    </row>
    <row r="18" spans="1:18">
      <c r="A18" s="3" t="str">
        <f>DAY(VLOOKUP(C18,Pasted!$A$3:$AH$50,34,0))&amp;" "&amp;CHOOSE(MONTH(VLOOKUP(C18,Pasted!$A$3:$AH$50,34,0)),"Jan","Feb","Mar","Apr","May","Jun","Jul","Aug","Sep","Oct","Nov","Dec")&amp;" "&amp;YEAR(VLOOKUP(C18,Pasted!$A$3:$AH$50,34,0))</f>
        <v>12 May 2026</v>
      </c>
      <c r="B18" s="1" t="s">
        <v>71</v>
      </c>
      <c r="C18" s="1" t="s">
        <v>71</v>
      </c>
      <c r="D18" s="1">
        <v>1620</v>
      </c>
      <c r="E18" s="1">
        <f>IFERROR(VLOOKUP(C18,Pasted!$A$3:$AD$50,3,0),0)</f>
        <v>34828</v>
      </c>
      <c r="F18" s="1">
        <f>IFERROR(VLOOKUP(C18,Pasted!$A$3:$AD$50,7,0),0)</f>
        <v>305</v>
      </c>
      <c r="G18" s="1">
        <f>IFERROR(VLOOKUP(C18,Pasted!$A$3:$AD$50,9,0),0)</f>
        <v>2087</v>
      </c>
      <c r="H18" s="1">
        <f>IFERROR(VLOOKUP(C18,Pasted!$A$3:$AD$50,11,0),0)</f>
        <v>898</v>
      </c>
      <c r="I18" s="1">
        <f>IFERROR(VLOOKUP(C18,Pasted!$A$3:$AD$50,13,0),0)</f>
        <v>2400</v>
      </c>
      <c r="J18" s="1">
        <f>IFERROR(VLOOKUP(C18,Pasted!$A$3:$AD$50,15,0),0)</f>
        <v>24640</v>
      </c>
      <c r="K18" s="1">
        <f>IFERROR(VLOOKUP(C18,Pasted!$A$3:$AD$50,17,0),0)</f>
        <v>0</v>
      </c>
      <c r="L18" s="1">
        <f>IFERROR(VLOOKUP(C18,Pasted!$A$3:$AD$50,19,0),0)</f>
        <v>142</v>
      </c>
      <c r="M18" s="1">
        <f>IFERROR(VLOOKUP(C18,Pasted!$A$3:$AD$50,21,0),0)</f>
        <v>0</v>
      </c>
      <c r="N18" s="1">
        <f>IFERROR(VLOOKUP(C18,Pasted!$A$3:$AD$50,23,0),0)</f>
        <v>0</v>
      </c>
      <c r="O18" s="1">
        <f>IFERROR(VLOOKUP(C18,Pasted!$A$3:$AD$50,25,0),0)</f>
        <v>2492</v>
      </c>
      <c r="P18" s="1">
        <f>IFERROR(VLOOKUP(C18,Pasted!$A$3:$AD$50,27,0),0)</f>
        <v>0</v>
      </c>
      <c r="Q18" s="1" t="s">
        <v>329</v>
      </c>
      <c r="R18" s="1">
        <f>IF(OR(VLOOKUP(C18,Pasted!$A$3:$AI$50,35,0)=1,LOWER(VLOOKUP(C18,Pasted!$A$3:$AI$50,35,0))="weekday",LOWER(VLOOKUP(C18,Pasted!$A$3:$AI$50,35,0))="yes"),1,0)</f>
        <v>1</v>
      </c>
    </row>
    <row r="19" spans="1:18">
      <c r="A19" s="3" t="str">
        <f>DAY(VLOOKUP(C19,Pasted!$A$3:$AH$50,34,0))&amp;" "&amp;CHOOSE(MONTH(VLOOKUP(C19,Pasted!$A$3:$AH$50,34,0)),"Jan","Feb","Mar","Apr","May","Jun","Jul","Aug","Sep","Oct","Nov","Dec")&amp;" "&amp;YEAR(VLOOKUP(C19,Pasted!$A$3:$AH$50,34,0))</f>
        <v>12 May 2026</v>
      </c>
      <c r="B19" s="1" t="s">
        <v>20</v>
      </c>
      <c r="C19" s="1" t="s">
        <v>20</v>
      </c>
      <c r="D19" s="1">
        <v>1655</v>
      </c>
      <c r="E19" s="1">
        <f>IFERROR(VLOOKUP(C19,Pasted!$A$3:$AD$50,3,0),0)</f>
        <v>36969</v>
      </c>
      <c r="F19" s="1">
        <f>IFERROR(VLOOKUP(C19,Pasted!$A$3:$AD$50,7,0),0)</f>
        <v>2</v>
      </c>
      <c r="G19" s="1">
        <f>IFERROR(VLOOKUP(C19,Pasted!$A$3:$AD$50,9,0),0)</f>
        <v>0</v>
      </c>
      <c r="H19" s="1">
        <f>IFERROR(VLOOKUP(C19,Pasted!$A$3:$AD$50,11,0),0)</f>
        <v>545</v>
      </c>
      <c r="I19" s="1">
        <f>IFERROR(VLOOKUP(C19,Pasted!$A$3:$AD$50,13,0),0)</f>
        <v>2392</v>
      </c>
      <c r="J19" s="1">
        <f>IFERROR(VLOOKUP(C19,Pasted!$A$3:$AD$50,15,0),0)</f>
        <v>29159</v>
      </c>
      <c r="K19" s="1">
        <f>IFERROR(VLOOKUP(C19,Pasted!$A$3:$AD$50,17,0),0)</f>
        <v>0</v>
      </c>
      <c r="L19" s="1">
        <f>IFERROR(VLOOKUP(C19,Pasted!$A$3:$AD$50,19,0),0)</f>
        <v>5</v>
      </c>
      <c r="M19" s="1">
        <f>IFERROR(VLOOKUP(C19,Pasted!$A$3:$AD$50,21,0),0)</f>
        <v>0</v>
      </c>
      <c r="N19" s="1">
        <f>IFERROR(VLOOKUP(C19,Pasted!$A$3:$AD$50,23,0),0)</f>
        <v>0</v>
      </c>
      <c r="O19" s="1">
        <f>IFERROR(VLOOKUP(C19,Pasted!$A$3:$AD$50,25,0),0)</f>
        <v>4866</v>
      </c>
      <c r="P19" s="1">
        <f>IFERROR(VLOOKUP(C19,Pasted!$A$3:$AD$50,27,0),0)</f>
        <v>0</v>
      </c>
      <c r="Q19" s="1" t="s">
        <v>329</v>
      </c>
      <c r="R19" s="1">
        <f>IF(OR(VLOOKUP(C19,Pasted!$A$3:$AI$50,35,0)=1,LOWER(VLOOKUP(C19,Pasted!$A$3:$AI$50,35,0))="weekday",LOWER(VLOOKUP(C19,Pasted!$A$3:$AI$50,35,0))="yes"),1,0)</f>
        <v>1</v>
      </c>
    </row>
    <row r="20" spans="1:18">
      <c r="A20" s="3" t="str">
        <f>DAY(VLOOKUP(C20,Pasted!$A$3:$AH$50,34,0))&amp;" "&amp;CHOOSE(MONTH(VLOOKUP(C20,Pasted!$A$3:$AH$50,34,0)),"Jan","Feb","Mar","Apr","May","Jun","Jul","Aug","Sep","Oct","Nov","Dec")&amp;" "&amp;YEAR(VLOOKUP(C20,Pasted!$A$3:$AH$50,34,0))</f>
        <v>12 May 2026</v>
      </c>
      <c r="B20" s="1" t="s">
        <v>165</v>
      </c>
      <c r="C20" s="1" t="s">
        <v>165</v>
      </c>
      <c r="D20" s="1">
        <v>1651</v>
      </c>
      <c r="E20" s="1">
        <f>IFERROR(VLOOKUP(C20,Pasted!$A$3:$AD$50,3,0),0)</f>
        <v>39176</v>
      </c>
      <c r="F20" s="1">
        <f>IFERROR(VLOOKUP(C20,Pasted!$A$3:$AD$50,7,0),0)</f>
        <v>637</v>
      </c>
      <c r="G20" s="1">
        <f>IFERROR(VLOOKUP(C20,Pasted!$A$3:$AD$50,9,0),0)</f>
        <v>2399</v>
      </c>
      <c r="H20" s="1">
        <f>IFERROR(VLOOKUP(C20,Pasted!$A$3:$AD$50,11,0),0)</f>
        <v>101</v>
      </c>
      <c r="I20" s="1">
        <f>IFERROR(VLOOKUP(C20,Pasted!$A$3:$AD$50,13,0),0)</f>
        <v>3179</v>
      </c>
      <c r="J20" s="1">
        <f>IFERROR(VLOOKUP(C20,Pasted!$A$3:$AD$50,15,0),0)</f>
        <v>0</v>
      </c>
      <c r="K20" s="1">
        <f>IFERROR(VLOOKUP(C20,Pasted!$A$3:$AD$50,17,0),0)</f>
        <v>8113</v>
      </c>
      <c r="L20" s="1">
        <f>IFERROR(VLOOKUP(C20,Pasted!$A$3:$AD$50,19,0),0)</f>
        <v>5543</v>
      </c>
      <c r="M20" s="1">
        <f>IFERROR(VLOOKUP(C20,Pasted!$A$3:$AD$50,21,0),0)</f>
        <v>0</v>
      </c>
      <c r="N20" s="1">
        <f>IFERROR(VLOOKUP(C20,Pasted!$A$3:$AD$50,23,0),0)</f>
        <v>0</v>
      </c>
      <c r="O20" s="1">
        <f>IFERROR(VLOOKUP(C20,Pasted!$A$3:$AD$50,25,0),0)</f>
        <v>600</v>
      </c>
      <c r="P20" s="1">
        <f>IFERROR(VLOOKUP(C20,Pasted!$A$3:$AD$50,27,0),0)</f>
        <v>0</v>
      </c>
      <c r="Q20" s="1" t="s">
        <v>329</v>
      </c>
      <c r="R20" s="1">
        <f>IF(OR(VLOOKUP(C20,Pasted!$A$3:$AI$50,35,0)=1,LOWER(VLOOKUP(C20,Pasted!$A$3:$AI$50,35,0))="weekday",LOWER(VLOOKUP(C20,Pasted!$A$3:$AI$50,35,0))="yes"),1,0)</f>
        <v>1</v>
      </c>
    </row>
    <row r="21" spans="1:18">
      <c r="A21" s="3" t="str">
        <f>DAY(VLOOKUP(C21,Pasted!$A$3:$AH$50,34,0))&amp;" "&amp;CHOOSE(MONTH(VLOOKUP(C21,Pasted!$A$3:$AH$50,34,0)),"Jan","Feb","Mar","Apr","May","Jun","Jul","Aug","Sep","Oct","Nov","Dec")&amp;" "&amp;YEAR(VLOOKUP(C21,Pasted!$A$3:$AH$50,34,0))</f>
        <v>12 May 2026</v>
      </c>
      <c r="B21" s="1" t="s">
        <v>55</v>
      </c>
      <c r="C21" s="1" t="s">
        <v>55</v>
      </c>
      <c r="D21" s="1">
        <v>1640</v>
      </c>
      <c r="E21" s="1">
        <f>IFERROR(VLOOKUP(C21,Pasted!$A$3:$AD$50,3,0),0)</f>
        <v>36588</v>
      </c>
      <c r="F21" s="1">
        <f>IFERROR(VLOOKUP(C21,Pasted!$A$3:$AD$50,7,0),0)</f>
        <v>172</v>
      </c>
      <c r="G21" s="1">
        <f>IFERROR(VLOOKUP(C21,Pasted!$A$3:$AD$50,9,0),0)</f>
        <v>0</v>
      </c>
      <c r="H21" s="1">
        <f>IFERROR(VLOOKUP(C21,Pasted!$A$3:$AD$50,11,0),0)</f>
        <v>1778</v>
      </c>
      <c r="I21" s="1">
        <f>IFERROR(VLOOKUP(C21,Pasted!$A$3:$AD$50,13,0),0)</f>
        <v>2416</v>
      </c>
      <c r="J21" s="1">
        <f>IFERROR(VLOOKUP(C21,Pasted!$A$3:$AD$50,15,0),0)</f>
        <v>20732</v>
      </c>
      <c r="K21" s="1">
        <f>IFERROR(VLOOKUP(C21,Pasted!$A$3:$AD$50,17,0),0)</f>
        <v>2906</v>
      </c>
      <c r="L21" s="1">
        <f>IFERROR(VLOOKUP(C21,Pasted!$A$3:$AD$50,19,0),0)</f>
        <v>852</v>
      </c>
      <c r="M21" s="1">
        <f>IFERROR(VLOOKUP(C21,Pasted!$A$3:$AD$50,21,0),0)</f>
        <v>0</v>
      </c>
      <c r="N21" s="1">
        <f>IFERROR(VLOOKUP(C21,Pasted!$A$3:$AD$50,23,0),0)</f>
        <v>0</v>
      </c>
      <c r="O21" s="1">
        <f>IFERROR(VLOOKUP(C21,Pasted!$A$3:$AD$50,25,0),0)</f>
        <v>4298</v>
      </c>
      <c r="P21" s="1">
        <f>IFERROR(VLOOKUP(C21,Pasted!$A$3:$AD$50,27,0),0)</f>
        <v>0</v>
      </c>
      <c r="Q21" s="1" t="s">
        <v>329</v>
      </c>
      <c r="R21" s="1">
        <f>IF(OR(VLOOKUP(C21,Pasted!$A$3:$AI$50,35,0)=1,LOWER(VLOOKUP(C21,Pasted!$A$3:$AI$50,35,0))="weekday",LOWER(VLOOKUP(C21,Pasted!$A$3:$AI$50,35,0))="yes"),1,0)</f>
        <v>1</v>
      </c>
    </row>
    <row r="22" spans="1:18">
      <c r="A22" s="3" t="str">
        <f>DAY(VLOOKUP(C22,Pasted!$A$3:$AH$50,34,0))&amp;" "&amp;CHOOSE(MONTH(VLOOKUP(C22,Pasted!$A$3:$AH$50,34,0)),"Jan","Feb","Mar","Apr","May","Jun","Jul","Aug","Sep","Oct","Nov","Dec")&amp;" "&amp;YEAR(VLOOKUP(C22,Pasted!$A$3:$AH$50,34,0))</f>
        <v>12 May 2026</v>
      </c>
      <c r="B22" s="1" t="s">
        <v>248</v>
      </c>
      <c r="C22" s="1" t="s">
        <v>248</v>
      </c>
      <c r="D22" s="1">
        <v>1632</v>
      </c>
      <c r="E22" s="1">
        <f>IFERROR(VLOOKUP(C22,Pasted!$A$3:$AD$50,3,0),0)</f>
        <v>39431</v>
      </c>
      <c r="F22" s="1">
        <f>IFERROR(VLOOKUP(C22,Pasted!$A$3:$AD$50,7,0),0)</f>
        <v>1418</v>
      </c>
      <c r="G22" s="1">
        <f>IFERROR(VLOOKUP(C22,Pasted!$A$3:$AD$50,9,0),0)</f>
        <v>2231</v>
      </c>
      <c r="H22" s="1">
        <f>IFERROR(VLOOKUP(C22,Pasted!$A$3:$AD$50,11,0),0)</f>
        <v>1921</v>
      </c>
      <c r="I22" s="1">
        <f>IFERROR(VLOOKUP(C22,Pasted!$A$3:$AD$50,13,0),0)</f>
        <v>2307</v>
      </c>
      <c r="J22" s="1">
        <f>IFERROR(VLOOKUP(C22,Pasted!$A$3:$AD$50,15,0),0)</f>
        <v>0</v>
      </c>
      <c r="K22" s="1">
        <f>IFERROR(VLOOKUP(C22,Pasted!$A$3:$AD$50,17,0),0)</f>
        <v>0</v>
      </c>
      <c r="L22" s="1">
        <f>IFERROR(VLOOKUP(C22,Pasted!$A$3:$AD$50,19,0),0)</f>
        <v>8974</v>
      </c>
      <c r="M22" s="1">
        <f>IFERROR(VLOOKUP(C22,Pasted!$A$3:$AD$50,21,0),0)</f>
        <v>0</v>
      </c>
      <c r="N22" s="1">
        <f>IFERROR(VLOOKUP(C22,Pasted!$A$3:$AD$50,23,0),0)</f>
        <v>0</v>
      </c>
      <c r="O22" s="1">
        <f>IFERROR(VLOOKUP(C22,Pasted!$A$3:$AD$50,25,0),0)</f>
        <v>0</v>
      </c>
      <c r="P22" s="1">
        <f>IFERROR(VLOOKUP(C22,Pasted!$A$3:$AD$50,27,0),0)</f>
        <v>0</v>
      </c>
      <c r="Q22" s="1" t="s">
        <v>329</v>
      </c>
      <c r="R22" s="1">
        <f>IF(OR(VLOOKUP(C22,Pasted!$A$3:$AI$50,35,0)=1,LOWER(VLOOKUP(C22,Pasted!$A$3:$AI$50,35,0))="weekday",LOWER(VLOOKUP(C22,Pasted!$A$3:$AI$50,35,0))="yes"),1,0)</f>
        <v>1</v>
      </c>
    </row>
    <row r="23" spans="1:18">
      <c r="A23" s="3" t="str">
        <f>DAY(VLOOKUP(C23,Pasted!$A$3:$AH$50,34,0))&amp;" "&amp;CHOOSE(MONTH(VLOOKUP(C23,Pasted!$A$3:$AH$50,34,0)),"Jan","Feb","Mar","Apr","May","Jun","Jul","Aug","Sep","Oct","Nov","Dec")&amp;" "&amp;YEAR(VLOOKUP(C23,Pasted!$A$3:$AH$50,34,0))</f>
        <v>12 May 2026</v>
      </c>
      <c r="B23" s="1" t="s">
        <v>306</v>
      </c>
      <c r="C23" s="1" t="s">
        <v>306</v>
      </c>
      <c r="D23" s="1">
        <v>1616</v>
      </c>
      <c r="E23" s="1">
        <f>IFERROR(VLOOKUP(C23,Pasted!$A$3:$AD$50,3,0),0)</f>
        <v>9</v>
      </c>
      <c r="F23" s="1">
        <f>IFERROR(VLOOKUP(C23,Pasted!$A$3:$AD$50,7,0),0)</f>
        <v>9</v>
      </c>
      <c r="G23" s="1">
        <f>IFERROR(VLOOKUP(C23,Pasted!$A$3:$AD$50,9,0),0)</f>
        <v>0</v>
      </c>
      <c r="H23" s="1">
        <f>IFERROR(VLOOKUP(C23,Pasted!$A$3:$AD$50,11,0),0)</f>
        <v>0</v>
      </c>
      <c r="I23" s="1">
        <f>IFERROR(VLOOKUP(C23,Pasted!$A$3:$AD$50,13,0),0)</f>
        <v>0</v>
      </c>
      <c r="J23" s="1">
        <f>IFERROR(VLOOKUP(C23,Pasted!$A$3:$AD$50,15,0),0)</f>
        <v>0</v>
      </c>
      <c r="K23" s="1">
        <f>IFERROR(VLOOKUP(C23,Pasted!$A$3:$AD$50,17,0),0)</f>
        <v>0</v>
      </c>
      <c r="L23" s="1">
        <f>IFERROR(VLOOKUP(C23,Pasted!$A$3:$AD$50,19,0),0)</f>
        <v>0</v>
      </c>
      <c r="M23" s="1">
        <f>IFERROR(VLOOKUP(C23,Pasted!$A$3:$AD$50,21,0),0)</f>
        <v>0</v>
      </c>
      <c r="N23" s="1">
        <f>IFERROR(VLOOKUP(C23,Pasted!$A$3:$AD$50,23,0),0)</f>
        <v>0</v>
      </c>
      <c r="O23" s="1">
        <f>IFERROR(VLOOKUP(C23,Pasted!$A$3:$AD$50,25,0),0)</f>
        <v>0</v>
      </c>
      <c r="P23" s="1">
        <f>IFERROR(VLOOKUP(C23,Pasted!$A$3:$AD$50,27,0),0)</f>
        <v>0</v>
      </c>
      <c r="Q23" s="1" t="s">
        <v>329</v>
      </c>
      <c r="R23" s="1">
        <f>IF(OR(VLOOKUP(C23,Pasted!$A$3:$AI$50,35,0)=1,LOWER(VLOOKUP(C23,Pasted!$A$3:$AI$50,35,0))="weekday",LOWER(VLOOKUP(C23,Pasted!$A$3:$AI$50,35,0))="yes"),1,0)</f>
        <v>1</v>
      </c>
    </row>
    <row r="24" spans="1:18">
      <c r="A24" s="3" t="str">
        <f>DAY(VLOOKUP(C24,Pasted!$A$3:$AH$50,34,0))&amp;" "&amp;CHOOSE(MONTH(VLOOKUP(C24,Pasted!$A$3:$AH$50,34,0)),"Jan","Feb","Mar","Apr","May","Jun","Jul","Aug","Sep","Oct","Nov","Dec")&amp;" "&amp;YEAR(VLOOKUP(C24,Pasted!$A$3:$AH$50,34,0))</f>
        <v>12 May 2026</v>
      </c>
      <c r="B24" s="1" t="s">
        <v>113</v>
      </c>
      <c r="C24" s="1" t="s">
        <v>113</v>
      </c>
      <c r="D24" s="1">
        <v>1650</v>
      </c>
      <c r="E24" s="1">
        <f>IFERROR(VLOOKUP(C24,Pasted!$A$3:$AD$50,3,0),0)</f>
        <v>34419</v>
      </c>
      <c r="F24" s="1">
        <f>IFERROR(VLOOKUP(C24,Pasted!$A$3:$AD$50,7,0),0)</f>
        <v>3679</v>
      </c>
      <c r="G24" s="1">
        <f>IFERROR(VLOOKUP(C24,Pasted!$A$3:$AD$50,9,0),0)</f>
        <v>2476</v>
      </c>
      <c r="H24" s="1">
        <f>IFERROR(VLOOKUP(C24,Pasted!$A$3:$AD$50,11,0),0)</f>
        <v>1723</v>
      </c>
      <c r="I24" s="1">
        <f>IFERROR(VLOOKUP(C24,Pasted!$A$3:$AD$50,13,0),0)</f>
        <v>2231</v>
      </c>
      <c r="J24" s="1">
        <f>IFERROR(VLOOKUP(C24,Pasted!$A$3:$AD$50,15,0),0)</f>
        <v>0</v>
      </c>
      <c r="K24" s="1">
        <f>IFERROR(VLOOKUP(C24,Pasted!$A$3:$AD$50,17,0),0)</f>
        <v>13599</v>
      </c>
      <c r="L24" s="1">
        <f>IFERROR(VLOOKUP(C24,Pasted!$A$3:$AD$50,19,0),0)</f>
        <v>2577</v>
      </c>
      <c r="M24" s="1">
        <f>IFERROR(VLOOKUP(C24,Pasted!$A$3:$AD$50,21,0),0)</f>
        <v>0</v>
      </c>
      <c r="N24" s="1">
        <f>IFERROR(VLOOKUP(C24,Pasted!$A$3:$AD$50,23,0),0)</f>
        <v>0</v>
      </c>
      <c r="O24" s="1">
        <f>IFERROR(VLOOKUP(C24,Pasted!$A$3:$AD$50,25,0),0)</f>
        <v>0</v>
      </c>
      <c r="P24" s="1">
        <f>IFERROR(VLOOKUP(C24,Pasted!$A$3:$AD$50,27,0),0)</f>
        <v>0</v>
      </c>
      <c r="Q24" s="1" t="s">
        <v>329</v>
      </c>
      <c r="R24" s="1">
        <f>IF(OR(VLOOKUP(C24,Pasted!$A$3:$AI$50,35,0)=1,LOWER(VLOOKUP(C24,Pasted!$A$3:$AI$50,35,0))="weekday",LOWER(VLOOKUP(C24,Pasted!$A$3:$AI$50,35,0))="yes"),1,0)</f>
        <v>1</v>
      </c>
    </row>
    <row r="25" spans="1:18">
      <c r="A25" s="3" t="str">
        <f>DAY(VLOOKUP(C25,Pasted!$A$3:$AH$50,34,0))&amp;" "&amp;CHOOSE(MONTH(VLOOKUP(C25,Pasted!$A$3:$AH$50,34,0)),"Jan","Feb","Mar","Apr","May","Jun","Jul","Aug","Sep","Oct","Nov","Dec")&amp;" "&amp;YEAR(VLOOKUP(C25,Pasted!$A$3:$AH$50,34,0))</f>
        <v>12 May 2026</v>
      </c>
      <c r="B25" s="1" t="s">
        <v>237</v>
      </c>
      <c r="C25" s="1" t="s">
        <v>237</v>
      </c>
      <c r="D25" s="1">
        <v>1630</v>
      </c>
      <c r="E25" s="1">
        <f>IFERROR(VLOOKUP(C25,Pasted!$A$3:$AD$50,3,0),0)</f>
        <v>35712</v>
      </c>
      <c r="F25" s="1">
        <f>IFERROR(VLOOKUP(C25,Pasted!$A$3:$AD$50,7,0),0)</f>
        <v>1998</v>
      </c>
      <c r="G25" s="1">
        <f>IFERROR(VLOOKUP(C25,Pasted!$A$3:$AD$50,9,0),0)</f>
        <v>2570</v>
      </c>
      <c r="H25" s="1">
        <f>IFERROR(VLOOKUP(C25,Pasted!$A$3:$AD$50,11,0),0)</f>
        <v>1538</v>
      </c>
      <c r="I25" s="1">
        <f>IFERROR(VLOOKUP(C25,Pasted!$A$3:$AD$50,13,0),0)</f>
        <v>2377</v>
      </c>
      <c r="J25" s="1">
        <f>IFERROR(VLOOKUP(C25,Pasted!$A$3:$AD$50,15,0),0)</f>
        <v>0</v>
      </c>
      <c r="K25" s="1">
        <f>IFERROR(VLOOKUP(C25,Pasted!$A$3:$AD$50,17,0),0)</f>
        <v>891</v>
      </c>
      <c r="L25" s="1">
        <f>IFERROR(VLOOKUP(C25,Pasted!$A$3:$AD$50,19,0),0)</f>
        <v>2662</v>
      </c>
      <c r="M25" s="1">
        <f>IFERROR(VLOOKUP(C25,Pasted!$A$3:$AD$50,21,0),0)</f>
        <v>0</v>
      </c>
      <c r="N25" s="1">
        <f>IFERROR(VLOOKUP(C25,Pasted!$A$3:$AD$50,23,0),0)</f>
        <v>1581</v>
      </c>
      <c r="O25" s="1">
        <f>IFERROR(VLOOKUP(C25,Pasted!$A$3:$AD$50,25,0),0)</f>
        <v>3265</v>
      </c>
      <c r="P25" s="1">
        <f>IFERROR(VLOOKUP(C25,Pasted!$A$3:$AD$50,27,0),0)</f>
        <v>0</v>
      </c>
      <c r="Q25" s="1" t="s">
        <v>329</v>
      </c>
      <c r="R25" s="1">
        <f>IF(OR(VLOOKUP(C25,Pasted!$A$3:$AI$50,35,0)=1,LOWER(VLOOKUP(C25,Pasted!$A$3:$AI$50,35,0))="weekday",LOWER(VLOOKUP(C25,Pasted!$A$3:$AI$50,35,0))="yes"),1,0)</f>
        <v>1</v>
      </c>
    </row>
    <row r="26" spans="1:18">
      <c r="A26" s="3" t="str">
        <f>DAY(VLOOKUP(C26,Pasted!$A$3:$AH$50,34,0))&amp;" "&amp;CHOOSE(MONTH(VLOOKUP(C26,Pasted!$A$3:$AH$50,34,0)),"Jan","Feb","Mar","Apr","May","Jun","Jul","Aug","Sep","Oct","Nov","Dec")&amp;" "&amp;YEAR(VLOOKUP(C26,Pasted!$A$3:$AH$50,34,0))</f>
        <v>12 May 2026</v>
      </c>
      <c r="B26" s="1" t="s">
        <v>47</v>
      </c>
      <c r="C26" s="1" t="s">
        <v>47</v>
      </c>
      <c r="D26" s="1">
        <v>1656</v>
      </c>
      <c r="E26" s="1">
        <f>IFERROR(VLOOKUP(C26,Pasted!$A$3:$AD$50,3,0),0)</f>
        <v>33788</v>
      </c>
      <c r="F26" s="1">
        <f>IFERROR(VLOOKUP(C26,Pasted!$A$3:$AD$50,7,0),0)</f>
        <v>3</v>
      </c>
      <c r="G26" s="1">
        <f>IFERROR(VLOOKUP(C26,Pasted!$A$3:$AD$50,9,0),0)</f>
        <v>1929</v>
      </c>
      <c r="H26" s="1">
        <f>IFERROR(VLOOKUP(C26,Pasted!$A$3:$AD$50,11,0),0)</f>
        <v>229</v>
      </c>
      <c r="I26" s="1">
        <f>IFERROR(VLOOKUP(C26,Pasted!$A$3:$AD$50,13,0),0)</f>
        <v>2405</v>
      </c>
      <c r="J26" s="1">
        <f>IFERROR(VLOOKUP(C26,Pasted!$A$3:$AD$50,15,0),0)</f>
        <v>27471</v>
      </c>
      <c r="K26" s="1">
        <f>IFERROR(VLOOKUP(C26,Pasted!$A$3:$AD$50,17,0),0)</f>
        <v>0</v>
      </c>
      <c r="L26" s="1">
        <f>IFERROR(VLOOKUP(C26,Pasted!$A$3:$AD$50,19,0),0)</f>
        <v>0</v>
      </c>
      <c r="M26" s="1">
        <f>IFERROR(VLOOKUP(C26,Pasted!$A$3:$AD$50,21,0),0)</f>
        <v>0</v>
      </c>
      <c r="N26" s="1">
        <f>IFERROR(VLOOKUP(C26,Pasted!$A$3:$AD$50,23,0),0)</f>
        <v>0</v>
      </c>
      <c r="O26" s="1">
        <f>IFERROR(VLOOKUP(C26,Pasted!$A$3:$AD$50,25,0),0)</f>
        <v>1751</v>
      </c>
      <c r="P26" s="1">
        <f>IFERROR(VLOOKUP(C26,Pasted!$A$3:$AD$50,27,0),0)</f>
        <v>0</v>
      </c>
      <c r="Q26" s="1" t="s">
        <v>329</v>
      </c>
      <c r="R26" s="1">
        <f>IF(OR(VLOOKUP(C26,Pasted!$A$3:$AI$50,35,0)=1,LOWER(VLOOKUP(C26,Pasted!$A$3:$AI$50,35,0))="weekday",LOWER(VLOOKUP(C26,Pasted!$A$3:$AI$50,35,0))="yes"),1,0)</f>
        <v>1</v>
      </c>
    </row>
    <row r="27" spans="1:18">
      <c r="A27" s="3" t="str">
        <f>DAY(VLOOKUP(C27,Pasted!$A$3:$AH$50,34,0))&amp;" "&amp;CHOOSE(MONTH(VLOOKUP(C27,Pasted!$A$3:$AH$50,34,0)),"Jan","Feb","Mar","Apr","May","Jun","Jul","Aug","Sep","Oct","Nov","Dec")&amp;" "&amp;YEAR(VLOOKUP(C27,Pasted!$A$3:$AH$50,34,0))</f>
        <v>12 May 2026</v>
      </c>
      <c r="B27" s="1" t="s">
        <v>218</v>
      </c>
      <c r="C27" s="1" t="s">
        <v>218</v>
      </c>
      <c r="D27" s="1">
        <v>1653</v>
      </c>
      <c r="E27" s="1">
        <f>IFERROR(VLOOKUP(C27,Pasted!$A$3:$AD$50,3,0),0)</f>
        <v>39232</v>
      </c>
      <c r="F27" s="1">
        <f>IFERROR(VLOOKUP(C27,Pasted!$A$3:$AD$50,7,0),0)</f>
        <v>363</v>
      </c>
      <c r="G27" s="1">
        <f>IFERROR(VLOOKUP(C27,Pasted!$A$3:$AD$50,9,0),0)</f>
        <v>0</v>
      </c>
      <c r="H27" s="1">
        <f>IFERROR(VLOOKUP(C27,Pasted!$A$3:$AD$50,11,0),0)</f>
        <v>802</v>
      </c>
      <c r="I27" s="1">
        <f>IFERROR(VLOOKUP(C27,Pasted!$A$3:$AD$50,13,0),0)</f>
        <v>2272</v>
      </c>
      <c r="J27" s="1">
        <f>IFERROR(VLOOKUP(C27,Pasted!$A$3:$AD$50,15,0),0)</f>
        <v>0</v>
      </c>
      <c r="K27" s="1">
        <f>IFERROR(VLOOKUP(C27,Pasted!$A$3:$AD$50,17,0),0)</f>
        <v>1064</v>
      </c>
      <c r="L27" s="1">
        <f>IFERROR(VLOOKUP(C27,Pasted!$A$3:$AD$50,19,0),0)</f>
        <v>12622</v>
      </c>
      <c r="M27" s="1">
        <f>IFERROR(VLOOKUP(C27,Pasted!$A$3:$AD$50,21,0),0)</f>
        <v>0</v>
      </c>
      <c r="N27" s="1">
        <f>IFERROR(VLOOKUP(C27,Pasted!$A$3:$AD$50,23,0),0)</f>
        <v>0</v>
      </c>
      <c r="O27" s="1">
        <f>IFERROR(VLOOKUP(C27,Pasted!$A$3:$AD$50,25,0),0)</f>
        <v>280</v>
      </c>
      <c r="P27" s="1">
        <f>IFERROR(VLOOKUP(C27,Pasted!$A$3:$AD$50,27,0),0)</f>
        <v>0</v>
      </c>
      <c r="Q27" s="1" t="s">
        <v>329</v>
      </c>
      <c r="R27" s="1">
        <f>IF(OR(VLOOKUP(C27,Pasted!$A$3:$AI$50,35,0)=1,LOWER(VLOOKUP(C27,Pasted!$A$3:$AI$50,35,0))="weekday",LOWER(VLOOKUP(C27,Pasted!$A$3:$AI$50,35,0))="yes"),1,0)</f>
        <v>1</v>
      </c>
    </row>
    <row r="28" spans="1:18">
      <c r="A28" s="3" t="str">
        <f>DAY(VLOOKUP(C28,Pasted!$A$3:$AH$50,34,0))&amp;" "&amp;CHOOSE(MONTH(VLOOKUP(C28,Pasted!$A$3:$AH$50,34,0)),"Jan","Feb","Mar","Apr","May","Jun","Jul","Aug","Sep","Oct","Nov","Dec")&amp;" "&amp;YEAR(VLOOKUP(C28,Pasted!$A$3:$AH$50,34,0))</f>
        <v>12 May 2026</v>
      </c>
      <c r="B28" s="1" t="s">
        <v>147</v>
      </c>
      <c r="C28" s="1" t="s">
        <v>147</v>
      </c>
      <c r="D28" s="1">
        <v>1631</v>
      </c>
      <c r="E28" s="1">
        <f>IFERROR(VLOOKUP(C28,Pasted!$A$3:$AD$50,3,0),0)</f>
        <v>34718</v>
      </c>
      <c r="F28" s="1">
        <f>IFERROR(VLOOKUP(C28,Pasted!$A$3:$AD$50,7,0),0)</f>
        <v>896</v>
      </c>
      <c r="G28" s="1">
        <f>IFERROR(VLOOKUP(C28,Pasted!$A$3:$AD$50,9,0),0)</f>
        <v>0</v>
      </c>
      <c r="H28" s="1">
        <f>IFERROR(VLOOKUP(C28,Pasted!$A$3:$AD$50,11,0),0)</f>
        <v>1836</v>
      </c>
      <c r="I28" s="1">
        <f>IFERROR(VLOOKUP(C28,Pasted!$A$3:$AD$50,13,0),0)</f>
        <v>2413</v>
      </c>
      <c r="J28" s="1">
        <f>IFERROR(VLOOKUP(C28,Pasted!$A$3:$AD$50,15,0),0)</f>
        <v>0</v>
      </c>
      <c r="K28" s="1">
        <f>IFERROR(VLOOKUP(C28,Pasted!$A$3:$AD$50,17,0),0)</f>
        <v>2462</v>
      </c>
      <c r="L28" s="1">
        <f>IFERROR(VLOOKUP(C28,Pasted!$A$3:$AD$50,19,0),0)</f>
        <v>6217</v>
      </c>
      <c r="M28" s="1">
        <f>IFERROR(VLOOKUP(C28,Pasted!$A$3:$AD$50,21,0),0)</f>
        <v>0</v>
      </c>
      <c r="N28" s="1">
        <f>IFERROR(VLOOKUP(C28,Pasted!$A$3:$AD$50,23,0),0)</f>
        <v>5236</v>
      </c>
      <c r="O28" s="1">
        <f>IFERROR(VLOOKUP(C28,Pasted!$A$3:$AD$50,25,0),0)</f>
        <v>2407</v>
      </c>
      <c r="P28" s="1">
        <f>IFERROR(VLOOKUP(C28,Pasted!$A$3:$AD$50,27,0),0)</f>
        <v>0</v>
      </c>
      <c r="Q28" s="1" t="s">
        <v>329</v>
      </c>
      <c r="R28" s="1">
        <f>IF(OR(VLOOKUP(C28,Pasted!$A$3:$AI$50,35,0)=1,LOWER(VLOOKUP(C28,Pasted!$A$3:$AI$50,35,0))="weekday",LOWER(VLOOKUP(C28,Pasted!$A$3:$AI$50,35,0))="yes"),1,0)</f>
        <v>1</v>
      </c>
    </row>
    <row r="29" spans="1:18">
      <c r="A29" s="3" t="str">
        <f>DAY(VLOOKUP(C29,Pasted!$A$3:$AH$50,34,0))&amp;" "&amp;CHOOSE(MONTH(VLOOKUP(C29,Pasted!$A$3:$AH$50,34,0)),"Jan","Feb","Mar","Apr","May","Jun","Jul","Aug","Sep","Oct","Nov","Dec")&amp;" "&amp;YEAR(VLOOKUP(C29,Pasted!$A$3:$AH$50,34,0))</f>
        <v>12 May 2026</v>
      </c>
      <c r="B29" s="1" t="s">
        <v>27</v>
      </c>
      <c r="C29" s="1" t="s">
        <v>27</v>
      </c>
      <c r="D29" s="1">
        <v>1657</v>
      </c>
      <c r="E29" s="1">
        <f>IFERROR(VLOOKUP(C29,Pasted!$A$3:$AD$50,3,0),0)</f>
        <v>34799</v>
      </c>
      <c r="F29" s="1">
        <f>IFERROR(VLOOKUP(C29,Pasted!$A$3:$AD$50,7,0),0)</f>
        <v>5</v>
      </c>
      <c r="G29" s="1">
        <f>IFERROR(VLOOKUP(C29,Pasted!$A$3:$AD$50,9,0),0)</f>
        <v>2157</v>
      </c>
      <c r="H29" s="1">
        <f>IFERROR(VLOOKUP(C29,Pasted!$A$3:$AD$50,11,0),0)</f>
        <v>365</v>
      </c>
      <c r="I29" s="1">
        <f>IFERROR(VLOOKUP(C29,Pasted!$A$3:$AD$50,13,0),0)</f>
        <v>2386</v>
      </c>
      <c r="J29" s="1">
        <f>IFERROR(VLOOKUP(C29,Pasted!$A$3:$AD$50,15,0),0)</f>
        <v>26889</v>
      </c>
      <c r="K29" s="1">
        <f>IFERROR(VLOOKUP(C29,Pasted!$A$3:$AD$50,17,0),0)</f>
        <v>0</v>
      </c>
      <c r="L29" s="1">
        <f>IFERROR(VLOOKUP(C29,Pasted!$A$3:$AD$50,19,0),0)</f>
        <v>0</v>
      </c>
      <c r="M29" s="1">
        <f>IFERROR(VLOOKUP(C29,Pasted!$A$3:$AD$50,21,0),0)</f>
        <v>0</v>
      </c>
      <c r="N29" s="1">
        <f>IFERROR(VLOOKUP(C29,Pasted!$A$3:$AD$50,23,0),0)</f>
        <v>0</v>
      </c>
      <c r="O29" s="1">
        <f>IFERROR(VLOOKUP(C29,Pasted!$A$3:$AD$50,25,0),0)</f>
        <v>2997</v>
      </c>
      <c r="P29" s="1">
        <f>IFERROR(VLOOKUP(C29,Pasted!$A$3:$AD$50,27,0),0)</f>
        <v>0</v>
      </c>
      <c r="Q29" s="1" t="s">
        <v>329</v>
      </c>
      <c r="R29" s="1">
        <f>IF(OR(VLOOKUP(C29,Pasted!$A$3:$AI$50,35,0)=1,LOWER(VLOOKUP(C29,Pasted!$A$3:$AI$50,35,0))="weekday",LOWER(VLOOKUP(C29,Pasted!$A$3:$AI$50,35,0))="yes"),1,0)</f>
        <v>1</v>
      </c>
    </row>
    <row r="30" spans="1:18">
      <c r="A30" s="3" t="str">
        <f>DAY(VLOOKUP(C30,Pasted!$A$3:$AH$50,34,0))&amp;" "&amp;CHOOSE(MONTH(VLOOKUP(C30,Pasted!$A$3:$AH$50,34,0)),"Jan","Feb","Mar","Apr","May","Jun","Jul","Aug","Sep","Oct","Nov","Dec")&amp;" "&amp;YEAR(VLOOKUP(C30,Pasted!$A$3:$AH$50,34,0))</f>
        <v>12 May 2026</v>
      </c>
      <c r="B30" s="1" t="s">
        <v>92</v>
      </c>
      <c r="C30" s="1" t="s">
        <v>92</v>
      </c>
      <c r="D30" s="1">
        <v>1625</v>
      </c>
      <c r="E30" s="1">
        <f>IFERROR(VLOOKUP(C30,Pasted!$A$3:$AD$50,3,0),0)</f>
        <v>35571</v>
      </c>
      <c r="F30" s="1">
        <f>IFERROR(VLOOKUP(C30,Pasted!$A$3:$AD$50,7,0),0)</f>
        <v>1780</v>
      </c>
      <c r="G30" s="1">
        <f>IFERROR(VLOOKUP(C30,Pasted!$A$3:$AD$50,9,0),0)</f>
        <v>1909</v>
      </c>
      <c r="H30" s="1">
        <f>IFERROR(VLOOKUP(C30,Pasted!$A$3:$AD$50,11,0),0)</f>
        <v>1146</v>
      </c>
      <c r="I30" s="1">
        <f>IFERROR(VLOOKUP(C30,Pasted!$A$3:$AD$50,13,0),0)</f>
        <v>2224</v>
      </c>
      <c r="J30" s="1">
        <f>IFERROR(VLOOKUP(C30,Pasted!$A$3:$AD$50,15,0),0)</f>
        <v>0</v>
      </c>
      <c r="K30" s="1">
        <f>IFERROR(VLOOKUP(C30,Pasted!$A$3:$AD$50,17,0),0)</f>
        <v>12781</v>
      </c>
      <c r="L30" s="1">
        <f>IFERROR(VLOOKUP(C30,Pasted!$A$3:$AD$50,19,0),0)</f>
        <v>5340</v>
      </c>
      <c r="M30" s="1">
        <f>IFERROR(VLOOKUP(C30,Pasted!$A$3:$AD$50,21,0),0)</f>
        <v>0</v>
      </c>
      <c r="N30" s="1">
        <f>IFERROR(VLOOKUP(C30,Pasted!$A$3:$AD$50,23,0),0)</f>
        <v>0</v>
      </c>
      <c r="O30" s="1">
        <f>IFERROR(VLOOKUP(C30,Pasted!$A$3:$AD$50,25,0),0)</f>
        <v>3170</v>
      </c>
      <c r="P30" s="1">
        <f>IFERROR(VLOOKUP(C30,Pasted!$A$3:$AD$50,27,0),0)</f>
        <v>0</v>
      </c>
      <c r="Q30" s="1" t="s">
        <v>329</v>
      </c>
      <c r="R30" s="1">
        <f>IF(OR(VLOOKUP(C30,Pasted!$A$3:$AI$50,35,0)=1,LOWER(VLOOKUP(C30,Pasted!$A$3:$AI$50,35,0))="weekday",LOWER(VLOOKUP(C30,Pasted!$A$3:$AI$50,35,0))="yes"),1,0)</f>
        <v>1</v>
      </c>
    </row>
    <row r="31" spans="1:18">
      <c r="A31" s="3" t="str">
        <f>DAY(VLOOKUP(C31,Pasted!$A$3:$AH$50,34,0))&amp;" "&amp;CHOOSE(MONTH(VLOOKUP(C31,Pasted!$A$3:$AH$50,34,0)),"Jan","Feb","Mar","Apr","May","Jun","Jul","Aug","Sep","Oct","Nov","Dec")&amp;" "&amp;YEAR(VLOOKUP(C31,Pasted!$A$3:$AH$50,34,0))</f>
        <v>12 May 2026</v>
      </c>
      <c r="B31" s="1" t="s">
        <v>254</v>
      </c>
      <c r="C31" s="1" t="s">
        <v>254</v>
      </c>
      <c r="D31" s="1">
        <v>1641</v>
      </c>
      <c r="E31" s="1">
        <f>IFERROR(VLOOKUP(C31,Pasted!$A$3:$AD$50,3,0),0)</f>
        <v>35631</v>
      </c>
      <c r="F31" s="1">
        <f>IFERROR(VLOOKUP(C31,Pasted!$A$3:$AD$50,7,0),0)</f>
        <v>2331</v>
      </c>
      <c r="G31" s="1">
        <f>IFERROR(VLOOKUP(C31,Pasted!$A$3:$AD$50,9,0),0)</f>
        <v>1289</v>
      </c>
      <c r="H31" s="1">
        <f>IFERROR(VLOOKUP(C31,Pasted!$A$3:$AD$50,11,0),0)</f>
        <v>1617</v>
      </c>
      <c r="I31" s="1">
        <f>IFERROR(VLOOKUP(C31,Pasted!$A$3:$AD$50,13,0),0)</f>
        <v>2592</v>
      </c>
      <c r="J31" s="1">
        <f>IFERROR(VLOOKUP(C31,Pasted!$A$3:$AD$50,15,0),0)</f>
        <v>0</v>
      </c>
      <c r="K31" s="1">
        <f>IFERROR(VLOOKUP(C31,Pasted!$A$3:$AD$50,17,0),0)</f>
        <v>0</v>
      </c>
      <c r="L31" s="1">
        <f>IFERROR(VLOOKUP(C31,Pasted!$A$3:$AD$50,19,0),0)</f>
        <v>5336</v>
      </c>
      <c r="M31" s="1">
        <f>IFERROR(VLOOKUP(C31,Pasted!$A$3:$AD$50,21,0),0)</f>
        <v>0</v>
      </c>
      <c r="N31" s="1">
        <f>IFERROR(VLOOKUP(C31,Pasted!$A$3:$AD$50,23,0),0)</f>
        <v>150</v>
      </c>
      <c r="O31" s="1">
        <f>IFERROR(VLOOKUP(C31,Pasted!$A$3:$AD$50,25,0),0)</f>
        <v>3114</v>
      </c>
      <c r="P31" s="1">
        <f>IFERROR(VLOOKUP(C31,Pasted!$A$3:$AD$50,27,0),0)</f>
        <v>0</v>
      </c>
      <c r="Q31" s="1" t="s">
        <v>329</v>
      </c>
      <c r="R31" s="1">
        <f>IF(OR(VLOOKUP(C31,Pasted!$A$3:$AI$50,35,0)=1,LOWER(VLOOKUP(C31,Pasted!$A$3:$AI$50,35,0))="weekday",LOWER(VLOOKUP(C31,Pasted!$A$3:$AI$50,35,0))="yes"),1,0)</f>
        <v>1</v>
      </c>
    </row>
    <row r="32" spans="1:18">
      <c r="A32" s="3" t="str">
        <f>DAY(VLOOKUP(C32,Pasted!$A$3:$AH$50,34,0))&amp;" "&amp;CHOOSE(MONTH(VLOOKUP(C32,Pasted!$A$3:$AH$50,34,0)),"Jan","Feb","Mar","Apr","May","Jun","Jul","Aug","Sep","Oct","Nov","Dec")&amp;" "&amp;YEAR(VLOOKUP(C32,Pasted!$A$3:$AH$50,34,0))</f>
        <v>12 May 2026</v>
      </c>
      <c r="B32" s="1" t="s">
        <v>131</v>
      </c>
      <c r="C32" s="1" t="s">
        <v>131</v>
      </c>
      <c r="D32" s="1">
        <v>1637</v>
      </c>
      <c r="E32" s="1">
        <f>IFERROR(VLOOKUP(C32,Pasted!$A$3:$AD$50,3,0),0)</f>
        <v>33536</v>
      </c>
      <c r="F32" s="1">
        <f>IFERROR(VLOOKUP(C32,Pasted!$A$3:$AD$50,7,0),0)</f>
        <v>3654</v>
      </c>
      <c r="G32" s="1">
        <f>IFERROR(VLOOKUP(C32,Pasted!$A$3:$AD$50,9,0),0)</f>
        <v>1900</v>
      </c>
      <c r="H32" s="1">
        <f>IFERROR(VLOOKUP(C32,Pasted!$A$3:$AD$50,11,0),0)</f>
        <v>0</v>
      </c>
      <c r="I32" s="1">
        <f>IFERROR(VLOOKUP(C32,Pasted!$A$3:$AD$50,13,0),0)</f>
        <v>2369</v>
      </c>
      <c r="J32" s="1">
        <f>IFERROR(VLOOKUP(C32,Pasted!$A$3:$AD$50,15,0),0)</f>
        <v>0</v>
      </c>
      <c r="K32" s="1">
        <f>IFERROR(VLOOKUP(C32,Pasted!$A$3:$AD$50,17,0),0)</f>
        <v>0</v>
      </c>
      <c r="L32" s="1">
        <f>IFERROR(VLOOKUP(C32,Pasted!$A$3:$AD$50,19,0),0)</f>
        <v>8476</v>
      </c>
      <c r="M32" s="1">
        <f>IFERROR(VLOOKUP(C32,Pasted!$A$3:$AD$50,21,0),0)</f>
        <v>0</v>
      </c>
      <c r="N32" s="1">
        <f>IFERROR(VLOOKUP(C32,Pasted!$A$3:$AD$50,23,0),0)</f>
        <v>5596</v>
      </c>
      <c r="O32" s="1">
        <f>IFERROR(VLOOKUP(C32,Pasted!$A$3:$AD$50,25,0),0)</f>
        <v>0</v>
      </c>
      <c r="P32" s="1">
        <f>IFERROR(VLOOKUP(C32,Pasted!$A$3:$AD$50,27,0),0)</f>
        <v>0</v>
      </c>
      <c r="Q32" s="1" t="s">
        <v>329</v>
      </c>
      <c r="R32" s="1">
        <f>IF(OR(VLOOKUP(C32,Pasted!$A$3:$AI$50,35,0)=1,LOWER(VLOOKUP(C32,Pasted!$A$3:$AI$50,35,0))="weekday",LOWER(VLOOKUP(C32,Pasted!$A$3:$AI$50,35,0))="yes"),1,0)</f>
        <v>1</v>
      </c>
    </row>
    <row r="33" spans="1:18">
      <c r="A33" s="3" t="str">
        <f>DAY(VLOOKUP(C33,Pasted!$A$3:$AH$50,34,0))&amp;" "&amp;CHOOSE(MONTH(VLOOKUP(C33,Pasted!$A$3:$AH$50,34,0)),"Jan","Feb","Mar","Apr","May","Jun","Jul","Aug","Sep","Oct","Nov","Dec")&amp;" "&amp;YEAR(VLOOKUP(C33,Pasted!$A$3:$AH$50,34,0))</f>
        <v>12 May 2026</v>
      </c>
      <c r="B33" s="1" t="s">
        <v>122</v>
      </c>
      <c r="C33" s="1" t="s">
        <v>122</v>
      </c>
      <c r="D33" s="1">
        <v>1643</v>
      </c>
      <c r="E33" s="1">
        <f>IFERROR(VLOOKUP(C33,Pasted!$A$3:$AD$50,3,0),0)</f>
        <v>35051</v>
      </c>
      <c r="F33" s="1">
        <f>IFERROR(VLOOKUP(C33,Pasted!$A$3:$AD$50,7,0),0)</f>
        <v>1913</v>
      </c>
      <c r="G33" s="1">
        <f>IFERROR(VLOOKUP(C33,Pasted!$A$3:$AD$50,9,0),0)</f>
        <v>0</v>
      </c>
      <c r="H33" s="1">
        <f>IFERROR(VLOOKUP(C33,Pasted!$A$3:$AD$50,11,0),0)</f>
        <v>1904</v>
      </c>
      <c r="I33" s="1">
        <f>IFERROR(VLOOKUP(C33,Pasted!$A$3:$AD$50,13,0),0)</f>
        <v>2360</v>
      </c>
      <c r="J33" s="1">
        <f>IFERROR(VLOOKUP(C33,Pasted!$A$3:$AD$50,15,0),0)</f>
        <v>0</v>
      </c>
      <c r="K33" s="1">
        <f>IFERROR(VLOOKUP(C33,Pasted!$A$3:$AD$50,17,0),0)</f>
        <v>4850</v>
      </c>
      <c r="L33" s="1">
        <f>IFERROR(VLOOKUP(C33,Pasted!$A$3:$AD$50,19,0),0)</f>
        <v>10017</v>
      </c>
      <c r="M33" s="1">
        <f>IFERROR(VLOOKUP(C33,Pasted!$A$3:$AD$50,21,0),0)</f>
        <v>0</v>
      </c>
      <c r="N33" s="1">
        <f>IFERROR(VLOOKUP(C33,Pasted!$A$3:$AD$50,23,0),0)</f>
        <v>0</v>
      </c>
      <c r="O33" s="1">
        <f>IFERROR(VLOOKUP(C33,Pasted!$A$3:$AD$50,25,0),0)</f>
        <v>2741</v>
      </c>
      <c r="P33" s="1">
        <f>IFERROR(VLOOKUP(C33,Pasted!$A$3:$AD$50,27,0),0)</f>
        <v>0</v>
      </c>
      <c r="Q33" s="1" t="s">
        <v>329</v>
      </c>
      <c r="R33" s="1">
        <f>IF(OR(VLOOKUP(C33,Pasted!$A$3:$AI$50,35,0)=1,LOWER(VLOOKUP(C33,Pasted!$A$3:$AI$50,35,0))="weekday",LOWER(VLOOKUP(C33,Pasted!$A$3:$AI$50,35,0))="yes"),1,0)</f>
        <v>1</v>
      </c>
    </row>
    <row r="34" spans="1:18">
      <c r="A34" s="3" t="str">
        <f>DAY(VLOOKUP(C34,Pasted!$A$3:$AH$50,34,0))&amp;" "&amp;CHOOSE(MONTH(VLOOKUP(C34,Pasted!$A$3:$AH$50,34,0)),"Jan","Feb","Mar","Apr","May","Jun","Jul","Aug","Sep","Oct","Nov","Dec")&amp;" "&amp;YEAR(VLOOKUP(C34,Pasted!$A$3:$AH$50,34,0))</f>
        <v>12 May 2026</v>
      </c>
      <c r="B34" s="1" t="s">
        <v>34</v>
      </c>
      <c r="C34" s="1" t="s">
        <v>34</v>
      </c>
      <c r="D34" s="1">
        <v>1615</v>
      </c>
      <c r="E34" s="1">
        <f>IFERROR(VLOOKUP(C34,Pasted!$A$3:$AD$50,3,0),0)</f>
        <v>34785</v>
      </c>
      <c r="F34" s="1">
        <f>IFERROR(VLOOKUP(C34,Pasted!$A$3:$AD$50,7,0),0)</f>
        <v>2913</v>
      </c>
      <c r="G34" s="1">
        <f>IFERROR(VLOOKUP(C34,Pasted!$A$3:$AD$50,9,0),0)</f>
        <v>3801</v>
      </c>
      <c r="H34" s="1">
        <f>IFERROR(VLOOKUP(C34,Pasted!$A$3:$AD$50,11,0),0)</f>
        <v>0</v>
      </c>
      <c r="I34" s="1">
        <f>IFERROR(VLOOKUP(C34,Pasted!$A$3:$AD$50,13,0),0)</f>
        <v>0</v>
      </c>
      <c r="J34" s="1">
        <f>IFERROR(VLOOKUP(C34,Pasted!$A$3:$AD$50,15,0),0)</f>
        <v>9151</v>
      </c>
      <c r="K34" s="1">
        <f>IFERROR(VLOOKUP(C34,Pasted!$A$3:$AD$50,17,0),0)</f>
        <v>0</v>
      </c>
      <c r="L34" s="1">
        <f>IFERROR(VLOOKUP(C34,Pasted!$A$3:$AD$50,19,0),0)</f>
        <v>0</v>
      </c>
      <c r="M34" s="1">
        <f>IFERROR(VLOOKUP(C34,Pasted!$A$3:$AD$50,21,0),0)</f>
        <v>0</v>
      </c>
      <c r="N34" s="1">
        <f>IFERROR(VLOOKUP(C34,Pasted!$A$3:$AD$50,23,0),0)</f>
        <v>18920</v>
      </c>
      <c r="O34" s="1">
        <f>IFERROR(VLOOKUP(C34,Pasted!$A$3:$AD$50,25,0),0)</f>
        <v>0</v>
      </c>
      <c r="P34" s="1">
        <f>IFERROR(VLOOKUP(C34,Pasted!$A$3:$AD$50,27,0),0)</f>
        <v>0</v>
      </c>
      <c r="Q34" s="1" t="s">
        <v>329</v>
      </c>
      <c r="R34" s="1">
        <f>IF(OR(VLOOKUP(C34,Pasted!$A$3:$AI$50,35,0)=1,LOWER(VLOOKUP(C34,Pasted!$A$3:$AI$50,35,0))="weekday",LOWER(VLOOKUP(C34,Pasted!$A$3:$AI$50,35,0))="yes"),1,0)</f>
        <v>1</v>
      </c>
    </row>
    <row r="35" spans="1:18">
      <c r="A35" s="3" t="str">
        <f>DAY(VLOOKUP(C35,Pasted!$A$3:$AH$50,34,0))&amp;" "&amp;CHOOSE(MONTH(VLOOKUP(C35,Pasted!$A$3:$AH$50,34,0)),"Jan","Feb","Mar","Apr","May","Jun","Jul","Aug","Sep","Oct","Nov","Dec")&amp;" "&amp;YEAR(VLOOKUP(C35,Pasted!$A$3:$AH$50,34,0))</f>
        <v>12 May 2026</v>
      </c>
      <c r="B35" s="1" t="s">
        <v>282</v>
      </c>
      <c r="C35" s="1" t="s">
        <v>282</v>
      </c>
      <c r="D35" s="1">
        <v>1621</v>
      </c>
      <c r="E35" s="1">
        <f>IFERROR(VLOOKUP(C35,Pasted!$A$3:$AD$50,3,0),0)</f>
        <v>36238</v>
      </c>
      <c r="F35" s="1">
        <f>IFERROR(VLOOKUP(C35,Pasted!$A$3:$AD$50,7,0),0)</f>
        <v>3461</v>
      </c>
      <c r="G35" s="1">
        <f>IFERROR(VLOOKUP(C35,Pasted!$A$3:$AD$50,9,0),0)</f>
        <v>2649</v>
      </c>
      <c r="H35" s="1">
        <f>IFERROR(VLOOKUP(C35,Pasted!$A$3:$AD$50,11,0),0)</f>
        <v>547</v>
      </c>
      <c r="I35" s="1">
        <f>IFERROR(VLOOKUP(C35,Pasted!$A$3:$AD$50,13,0),0)</f>
        <v>2427</v>
      </c>
      <c r="J35" s="1">
        <f>IFERROR(VLOOKUP(C35,Pasted!$A$3:$AD$50,15,0),0)</f>
        <v>0</v>
      </c>
      <c r="K35" s="1">
        <f>IFERROR(VLOOKUP(C35,Pasted!$A$3:$AD$50,17,0),0)</f>
        <v>77</v>
      </c>
      <c r="L35" s="1">
        <f>IFERROR(VLOOKUP(C35,Pasted!$A$3:$AD$50,19,0),0)</f>
        <v>481</v>
      </c>
      <c r="M35" s="1">
        <f>IFERROR(VLOOKUP(C35,Pasted!$A$3:$AD$50,21,0),0)</f>
        <v>0</v>
      </c>
      <c r="N35" s="1">
        <f>IFERROR(VLOOKUP(C35,Pasted!$A$3:$AD$50,23,0),0)</f>
        <v>70</v>
      </c>
      <c r="O35" s="1">
        <f>IFERROR(VLOOKUP(C35,Pasted!$A$3:$AD$50,25,0),0)</f>
        <v>3631</v>
      </c>
      <c r="P35" s="1">
        <f>IFERROR(VLOOKUP(C35,Pasted!$A$3:$AD$50,27,0),0)</f>
        <v>0</v>
      </c>
      <c r="Q35" s="1" t="s">
        <v>329</v>
      </c>
      <c r="R35" s="1">
        <f>IF(OR(VLOOKUP(C35,Pasted!$A$3:$AI$50,35,0)=1,LOWER(VLOOKUP(C35,Pasted!$A$3:$AI$50,35,0))="weekday",LOWER(VLOOKUP(C35,Pasted!$A$3:$AI$50,35,0))="yes"),1,0)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Dynabook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Pasted</vt:lpstr>
      <vt:lpstr>Agent List</vt:lpstr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Cuparsa Sastrawiguna</dc:creator>
  <cp:lastModifiedBy>csastrawiguna</cp:lastModifiedBy>
  <dcterms:created xsi:type="dcterms:W3CDTF">2026-05-30T05:36:00Z</dcterms:created>
  <dcterms:modified xsi:type="dcterms:W3CDTF">2026-06-03T20:38:20Z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