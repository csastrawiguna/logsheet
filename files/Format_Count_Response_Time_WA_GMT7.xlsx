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70" windowHeight="9780"/>
  </bookViews>
  <sheets>
    <sheet name="Main sheet" sheetId="1" r:id="rId1"/>
  </sheets>
  <definedNames>
    <definedName name="_xlnm._FilterDatabase" localSheetId="0" hidden="1">'Main sheet'!$C$1:$H$1</definedName>
  </definedNames>
  <calcPr calcId="144525"/>
</workbook>
</file>

<file path=xl/sharedStrings.xml><?xml version="1.0" encoding="utf-8"?>
<sst xmlns="http://schemas.openxmlformats.org/spreadsheetml/2006/main" count="317" uniqueCount="94">
  <si>
    <t>DT</t>
  </si>
  <si>
    <t>GAP (second)</t>
  </si>
  <si>
    <t>InteractionID</t>
  </si>
  <si>
    <t>CustomerID</t>
  </si>
  <si>
    <t>Name</t>
  </si>
  <si>
    <t>Phone Number</t>
  </si>
  <si>
    <t>Agent Handle</t>
  </si>
  <si>
    <t>Flag To</t>
  </si>
  <si>
    <t>Datetime</t>
  </si>
  <si>
    <t>Message Text</t>
  </si>
  <si>
    <t>Message Type</t>
  </si>
  <si>
    <t>Message ID</t>
  </si>
  <si>
    <t>Channel Name</t>
  </si>
  <si>
    <t>Channel ID</t>
  </si>
  <si>
    <t>Chat Status</t>
  </si>
  <si>
    <t>Attachment</t>
  </si>
  <si>
    <t>SBZSN2ZOX6TKH1LV5C5D</t>
  </si>
  <si>
    <t>E24057337</t>
  </si>
  <si>
    <t>Darmady /bp</t>
  </si>
  <si>
    <t>08158152724</t>
  </si>
  <si>
    <t>1649</t>
  </si>
  <si>
    <t>customer</t>
  </si>
  <si>
    <t>2026-06-03T04:03:20.000Z</t>
  </si>
  <si>
    <t>User 628158152724_628118205666 Connected</t>
  </si>
  <si>
    <t>text</t>
  </si>
  <si>
    <t>6a1fa788d3ec4</t>
  </si>
  <si>
    <t>Whatsapp</t>
  </si>
  <si>
    <t>628118205666</t>
  </si>
  <si>
    <t>Resolved</t>
  </si>
  <si>
    <t/>
  </si>
  <si>
    <t>2026-06-03T04:02:01.000Z</t>
  </si>
  <si>
    <t>Ini kulkas saya ngga dingin ya</t>
  </si>
  <si>
    <t>LMS1XKOKKEX7D</t>
  </si>
  <si>
    <t>SALLI</t>
  </si>
  <si>
    <t>bot</t>
  </si>
  <si>
    <t>2026-06-03T04:02:02.000Z</t>
  </si>
  <si>
    <t>Selamat pagi Bapak  Ini Kapan Orang Servicenya Mau Ke Tempat Saya Untuk Ambil Kulkas Atau Survey Dulu. Terima kasih telah menghubungi layanan informasi SHARP. Ada yang bisa SALLI bantu?</t>
  </si>
  <si>
    <t>6a1fa7899d8c1</t>
  </si>
  <si>
    <t>2026-06-03T04:02:03.000Z</t>
  </si>
  <si>
    <t>Silakan pilih menu layanan di bawah ini</t>
  </si>
  <si>
    <t>6a1fa7899d8c7</t>
  </si>
  <si>
    <t>2026-06-03T04:03:00.000Z</t>
  </si>
  <si>
    <t>image</t>
  </si>
  <si>
    <t>KTB9AABJBM584</t>
  </si>
  <si>
    <t>https://sincere.sharp.id/attachment/Whatsapp/1485283992844416.jpeg</t>
  </si>
  <si>
    <t>2026-06-03T04:03:01.000Z</t>
  </si>
  <si>
    <t>atau tekan *Menu* untuk kembali ke menu utama</t>
  </si>
  <si>
    <t>6a1fa789e6585</t>
  </si>
  <si>
    <t>Maaf jawaban yang Anda ketik tidak sesuai.&lt;BR&gt;Silakan tekan menu di bawah ini untuk lihat topik lainnya</t>
  </si>
  <si>
    <t>6a1fa789e6595</t>
  </si>
  <si>
    <t>2026-06-03T04:03:10.000Z</t>
  </si>
  <si>
    <t>Menu</t>
  </si>
  <si>
    <t>XXN5BK5GOTUJH</t>
  </si>
  <si>
    <t>2026-06-03T04:03:11.000Z</t>
  </si>
  <si>
    <t>6a1fa789e65a0</t>
  </si>
  <si>
    <t>Bicara dengan Agent</t>
  </si>
  <si>
    <t>OB2NGOH0J79OV</t>
  </si>
  <si>
    <t>Halo, Anda sudah terhubung dengan Agent Livechat SHARP. Silakan masukkan detail pertanyaan yang ingin ditanyakan dan mohon kesediaannya menunggu Agent kami membalas</t>
  </si>
  <si>
    <t>6a1fa789e7443</t>
  </si>
  <si>
    <t>2026-06-03T04:03:49.000Z</t>
  </si>
  <si>
    <t>Ini kulkas saya tidak dingin ya</t>
  </si>
  <si>
    <t>6a1fa7a5235e9</t>
  </si>
  <si>
    <t>Tantri</t>
  </si>
  <si>
    <t>agent</t>
  </si>
  <si>
    <t>2026-06-03T04:45:16.000Z</t>
  </si>
  <si>
    <t>Terima kasih telah menggunakan layanan WhatsApp SHARP.&lt;br&gt;Selamat siang , saya Tantri  dengan senang hati akan memberikan informasi yang Bapak Darmady   butuhkan&lt;br&gt;</t>
  </si>
  <si>
    <t>61FKNMP1QA7GU6EZ9O00</t>
  </si>
  <si>
    <t>2026-06-03T04:45:31.000Z</t>
  </si>
  <si>
    <t>Baik Bapak Darmady  untuk memastikan kendalanya , apabila berkenan untuk mengikuti langkah berikut:&lt;br&gt;1. Cabut kabel daya lemari es dari stop kontak listrik&lt;br&gt;2. Diamkan lemari es selama 2-3 jam&lt;br&gt;3. Geser pengaturan di ruang pembeku (pintu atas) ke Min &lt;br&gt;4. Putar pengaturan di ruang pendingin (pintu bawah) ke Normal atau Maksimum agar pendinginannya lebih merata baik bawah ataupun atas&lt;br&gt;5. Koneksikan kembali kabel daya lemari es ke stop kontak listrik dan menunggu 2 jam untuk proses pendinginan ulang.&lt;br&gt;6.lalu dapat tinjau sekitar 24 jam untuk pendinginan kembali&lt;br&gt;&lt;br&gt;Catatan: disarankan menggunakan stop kontak tunggal (tidak tergabung dengan alat elektronik lain).&lt;br&gt;</t>
  </si>
  <si>
    <t>8XJNXPOSFH4NRG83STPL</t>
  </si>
  <si>
    <t>2026-06-03T04:45:54.000Z</t>
  </si>
  <si>
    <t xml:space="preserve">apabila masih ada kendala Bapak Darmady dapat menghubungi kami kembali untuk dibuatkan laporan kunjungan teknisi </t>
  </si>
  <si>
    <t>PQJ8S0JFDKKB38TNUWCC</t>
  </si>
  <si>
    <t>2026-06-03T04:46:56.000Z</t>
  </si>
  <si>
    <t>Ok bu nanti saya coba laksanakan saran dari ibu dulu</t>
  </si>
  <si>
    <t>6a1fb1c07ad15</t>
  </si>
  <si>
    <t>2026-06-03T04:50:04.000Z</t>
  </si>
  <si>
    <t>baik Bapak Darmady  apakah ada lagi yang bisa kami bantu?</t>
  </si>
  <si>
    <t>PUBF70TNINAH32CHCS3Q</t>
  </si>
  <si>
    <t>2026-06-03T04:50:56.000Z</t>
  </si>
  <si>
    <t>Besok saya kasih report ke ibu lagi</t>
  </si>
  <si>
    <t>6a1fb2b00e4ef</t>
  </si>
  <si>
    <t>2026-06-03T04:52:15.000Z</t>
  </si>
  <si>
    <t>Baik Bapak Darmady apabila masih ada kendala Bapak Darmady dapat menghubungi kami kembali</t>
  </si>
  <si>
    <t>HVIAYZK1U339HDCWJNMK</t>
  </si>
  <si>
    <t>2026-06-03T04:54:05.000Z</t>
  </si>
  <si>
    <t>Baik Bapak Darmady  saya akhiri chat ini. Semoga aktivitas Bapak Darmady  selanjutnya berjalan dengan lancar. Terima kasih telah menggunakan layanan WhatsApp SHARP. Selamat siang, semoga hari anda menyenangkan.&lt;br&gt;&lt;br&gt;Mau promo cashback e-wallet hingga 3 juta, informasi lebih detail silakan kunjungi link berikut https://seid-promo.com/promotions/kt-RqjxwpyO8</t>
  </si>
  <si>
    <t>I170TZE4RA3EQ8KUSUMM</t>
  </si>
  <si>
    <t>2026-06-03T04:54:06.000Z</t>
  </si>
  <si>
    <t>Untuk menjaga kondisi produk Anda tetap prima, Sharp kini memiliki layanan perawatan produk AC, Air Purifier, Water Dispenser, Lemari es dan Mesin Cuci. Dapatkan layanan ini dengan menghubungi Call Center Sharp di nomor 0800-1225588 (Bebas Pulsa)&lt;br&gt; </t>
  </si>
  <si>
    <t>8RQGJ4G0GD5UST2ATH4R</t>
  </si>
  <si>
    <t>2026-06-03T04:54:39.000Z</t>
  </si>
  <si>
    <t>Ok</t>
  </si>
  <si>
    <t>6a1fb38f87887</t>
  </si>
</sst>
</file>

<file path=xl/styles.xml><?xml version="1.0" encoding="utf-8"?>
<styleSheet xmlns="http://schemas.openxmlformats.org/spreadsheetml/2006/main">
  <numFmts count="5">
    <numFmt numFmtId="176" formatCode="dd\-mmm\-yyyy\ hh:mm:ss"/>
    <numFmt numFmtId="44" formatCode="_(&quot;$&quot;* #,##0.00_);_(&quot;$&quot;* \(#,##0.00\);_(&quot;$&quot;* &quot;-&quot;??_);_(@_)"/>
    <numFmt numFmtId="177" formatCode="_ * #,##0_ ;_ * \-#,##0_ ;_ * &quot;-&quot;_ ;_ @_ "/>
    <numFmt numFmtId="42" formatCode="_(&quot;$&quot;* #,##0_);_(&quot;$&quot;* \(#,##0\);_(&quot;$&quot;* &quot;-&quot;_);_(@_)"/>
    <numFmt numFmtId="178" formatCode="_ * #,##0.00_ ;_ * \-#,##0.00_ ;_ * &quot;-&quot;??_ ;_ @_ "/>
  </numFmts>
  <fonts count="21">
    <font>
      <sz val="11"/>
      <color theme="1"/>
      <name val="Calibri"/>
      <charset val="134"/>
      <scheme val="minor"/>
    </font>
    <font>
      <b/>
      <sz val="11"/>
      <color theme="1"/>
      <name val="Calibri"/>
      <charset val="134"/>
      <scheme val="minor"/>
    </font>
    <font>
      <b/>
      <sz val="11"/>
      <color rgb="FFFFFFFF"/>
      <name val="Calibri"/>
      <charset val="0"/>
      <scheme val="minor"/>
    </font>
    <font>
      <sz val="11"/>
      <color theme="1"/>
      <name val="Calibri"/>
      <charset val="0"/>
      <scheme val="minor"/>
    </font>
    <font>
      <b/>
      <sz val="13"/>
      <color theme="3"/>
      <name val="Calibri"/>
      <charset val="134"/>
      <scheme val="minor"/>
    </font>
    <font>
      <sz val="11"/>
      <color rgb="FFFF0000"/>
      <name val="Calibri"/>
      <charset val="0"/>
      <scheme val="minor"/>
    </font>
    <font>
      <b/>
      <sz val="11"/>
      <color theme="3"/>
      <name val="Calibri"/>
      <charset val="134"/>
      <scheme val="minor"/>
    </font>
    <font>
      <b/>
      <sz val="15"/>
      <color theme="3"/>
      <name val="Calibri"/>
      <charset val="134"/>
      <scheme val="minor"/>
    </font>
    <font>
      <sz val="11"/>
      <color theme="0"/>
      <name val="Calibri"/>
      <charset val="0"/>
      <scheme val="minor"/>
    </font>
    <font>
      <b/>
      <sz val="11"/>
      <color rgb="FF3F3F3F"/>
      <name val="Calibri"/>
      <charset val="0"/>
      <scheme val="minor"/>
    </font>
    <font>
      <sz val="11"/>
      <color rgb="FF9C0006"/>
      <name val="Calibri"/>
      <charset val="0"/>
      <scheme val="minor"/>
    </font>
    <font>
      <sz val="11"/>
      <color rgb="FFFA7D00"/>
      <name val="Calibri"/>
      <charset val="0"/>
      <scheme val="minor"/>
    </font>
    <font>
      <i/>
      <sz val="11"/>
      <color rgb="FF7F7F7F"/>
      <name val="Calibri"/>
      <charset val="0"/>
      <scheme val="minor"/>
    </font>
    <font>
      <u/>
      <sz val="11"/>
      <color rgb="FF800080"/>
      <name val="Calibri"/>
      <charset val="0"/>
      <scheme val="minor"/>
    </font>
    <font>
      <sz val="11"/>
      <color rgb="FF006100"/>
      <name val="Calibri"/>
      <charset val="0"/>
      <scheme val="minor"/>
    </font>
    <font>
      <sz val="11"/>
      <color rgb="FF9C6500"/>
      <name val="Calibri"/>
      <charset val="0"/>
      <scheme val="minor"/>
    </font>
    <font>
      <u/>
      <sz val="11"/>
      <color rgb="FF0000FF"/>
      <name val="Calibri"/>
      <charset val="0"/>
      <scheme val="minor"/>
    </font>
    <font>
      <b/>
      <sz val="11"/>
      <color theme="1"/>
      <name val="Calibri"/>
      <charset val="0"/>
      <scheme val="minor"/>
    </font>
    <font>
      <sz val="11"/>
      <color rgb="FF3F3F76"/>
      <name val="Calibri"/>
      <charset val="0"/>
      <scheme val="minor"/>
    </font>
    <font>
      <b/>
      <sz val="11"/>
      <color rgb="FFFA7D00"/>
      <name val="Calibri"/>
      <charset val="0"/>
      <scheme val="minor"/>
    </font>
    <font>
      <b/>
      <sz val="18"/>
      <color theme="3"/>
      <name val="Calibri"/>
      <charset val="134"/>
      <scheme val="minor"/>
    </font>
  </fonts>
  <fills count="35">
    <fill>
      <patternFill patternType="none"/>
    </fill>
    <fill>
      <patternFill patternType="gray125"/>
    </fill>
    <fill>
      <patternFill patternType="solid">
        <fgColor theme="8" tint="0.8"/>
        <bgColor indexed="64"/>
      </patternFill>
    </fill>
    <fill>
      <patternFill patternType="solid">
        <fgColor rgb="FFF5B914"/>
        <bgColor indexed="64"/>
      </patternFill>
    </fill>
    <fill>
      <patternFill patternType="solid">
        <fgColor rgb="FFA5A5A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5"/>
        <bgColor indexed="64"/>
      </patternFill>
    </fill>
    <fill>
      <patternFill patternType="solid">
        <fgColor theme="8"/>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7"/>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6" tint="0.399975585192419"/>
        <bgColor indexed="64"/>
      </patternFill>
    </fill>
  </fills>
  <borders count="10">
    <border>
      <left/>
      <right/>
      <top/>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8" fillId="31" borderId="0" applyNumberFormat="0" applyBorder="0" applyAlignment="0" applyProtection="0">
      <alignment vertical="center"/>
    </xf>
    <xf numFmtId="0" fontId="3" fillId="33" borderId="0" applyNumberFormat="0" applyBorder="0" applyAlignment="0" applyProtection="0">
      <alignment vertical="center"/>
    </xf>
    <xf numFmtId="0" fontId="8" fillId="14" borderId="0" applyNumberFormat="0" applyBorder="0" applyAlignment="0" applyProtection="0">
      <alignment vertical="center"/>
    </xf>
    <xf numFmtId="0" fontId="8" fillId="32" borderId="0" applyNumberFormat="0" applyBorder="0" applyAlignment="0" applyProtection="0">
      <alignment vertical="center"/>
    </xf>
    <xf numFmtId="0" fontId="3" fillId="21" borderId="0" applyNumberFormat="0" applyBorder="0" applyAlignment="0" applyProtection="0">
      <alignment vertical="center"/>
    </xf>
    <xf numFmtId="0" fontId="3" fillId="5" borderId="0" applyNumberFormat="0" applyBorder="0" applyAlignment="0" applyProtection="0">
      <alignment vertical="center"/>
    </xf>
    <xf numFmtId="0" fontId="8" fillId="6" borderId="0" applyNumberFormat="0" applyBorder="0" applyAlignment="0" applyProtection="0">
      <alignment vertical="center"/>
    </xf>
    <xf numFmtId="0" fontId="8" fillId="16" borderId="0" applyNumberFormat="0" applyBorder="0" applyAlignment="0" applyProtection="0">
      <alignment vertical="center"/>
    </xf>
    <xf numFmtId="0" fontId="3" fillId="28" borderId="0" applyNumberFormat="0" applyBorder="0" applyAlignment="0" applyProtection="0">
      <alignment vertical="center"/>
    </xf>
    <xf numFmtId="0" fontId="8" fillId="25" borderId="0" applyNumberFormat="0" applyBorder="0" applyAlignment="0" applyProtection="0">
      <alignment vertical="center"/>
    </xf>
    <xf numFmtId="0" fontId="11" fillId="0" borderId="7" applyNumberFormat="0" applyFill="0" applyAlignment="0" applyProtection="0">
      <alignment vertical="center"/>
    </xf>
    <xf numFmtId="0" fontId="3" fillId="27" borderId="0" applyNumberFormat="0" applyBorder="0" applyAlignment="0" applyProtection="0">
      <alignment vertical="center"/>
    </xf>
    <xf numFmtId="0" fontId="8" fillId="20" borderId="0" applyNumberFormat="0" applyBorder="0" applyAlignment="0" applyProtection="0">
      <alignment vertical="center"/>
    </xf>
    <xf numFmtId="0" fontId="8" fillId="19" borderId="0" applyNumberFormat="0" applyBorder="0" applyAlignment="0" applyProtection="0">
      <alignment vertical="center"/>
    </xf>
    <xf numFmtId="0" fontId="3" fillId="18" borderId="0" applyNumberFormat="0" applyBorder="0" applyAlignment="0" applyProtection="0">
      <alignment vertical="center"/>
    </xf>
    <xf numFmtId="0" fontId="3" fillId="26" borderId="0" applyNumberFormat="0" applyBorder="0" applyAlignment="0" applyProtection="0">
      <alignment vertical="center"/>
    </xf>
    <xf numFmtId="0" fontId="8" fillId="15" borderId="0" applyNumberFormat="0" applyBorder="0" applyAlignment="0" applyProtection="0">
      <alignment vertical="center"/>
    </xf>
    <xf numFmtId="0" fontId="3" fillId="30" borderId="0" applyNumberFormat="0" applyBorder="0" applyAlignment="0" applyProtection="0">
      <alignment vertical="center"/>
    </xf>
    <xf numFmtId="0" fontId="3" fillId="10" borderId="0" applyNumberFormat="0" applyBorder="0" applyAlignment="0" applyProtection="0">
      <alignment vertical="center"/>
    </xf>
    <xf numFmtId="0" fontId="8" fillId="7" borderId="0" applyNumberFormat="0" applyBorder="0" applyAlignment="0" applyProtection="0">
      <alignment vertical="center"/>
    </xf>
    <xf numFmtId="0" fontId="15" fillId="24" borderId="0" applyNumberFormat="0" applyBorder="0" applyAlignment="0" applyProtection="0">
      <alignment vertical="center"/>
    </xf>
    <xf numFmtId="0" fontId="8" fillId="17" borderId="0" applyNumberFormat="0" applyBorder="0" applyAlignment="0" applyProtection="0">
      <alignment vertical="center"/>
    </xf>
    <xf numFmtId="0" fontId="10" fillId="13" borderId="0" applyNumberFormat="0" applyBorder="0" applyAlignment="0" applyProtection="0">
      <alignment vertical="center"/>
    </xf>
    <xf numFmtId="0" fontId="3" fillId="12" borderId="0" applyNumberFormat="0" applyBorder="0" applyAlignment="0" applyProtection="0">
      <alignment vertical="center"/>
    </xf>
    <xf numFmtId="0" fontId="17" fillId="0" borderId="8" applyNumberFormat="0" applyFill="0" applyAlignment="0" applyProtection="0">
      <alignment vertical="center"/>
    </xf>
    <xf numFmtId="0" fontId="9" fillId="8" borderId="5" applyNumberFormat="0" applyAlignment="0" applyProtection="0">
      <alignment vertical="center"/>
    </xf>
    <xf numFmtId="44" fontId="0" fillId="0" borderId="0" applyFont="0" applyFill="0" applyBorder="0" applyAlignment="0" applyProtection="0">
      <alignment vertical="center"/>
    </xf>
    <xf numFmtId="0" fontId="3" fillId="11" borderId="0" applyNumberFormat="0" applyBorder="0" applyAlignment="0" applyProtection="0">
      <alignment vertical="center"/>
    </xf>
    <xf numFmtId="0" fontId="0" fillId="9" borderId="6" applyNumberFormat="0" applyFont="0" applyAlignment="0" applyProtection="0">
      <alignment vertical="center"/>
    </xf>
    <xf numFmtId="0" fontId="18" fillId="29" borderId="9" applyNumberFormat="0" applyAlignment="0" applyProtection="0">
      <alignment vertical="center"/>
    </xf>
    <xf numFmtId="0" fontId="6" fillId="0" borderId="0" applyNumberFormat="0" applyFill="0" applyBorder="0" applyAlignment="0" applyProtection="0">
      <alignment vertical="center"/>
    </xf>
    <xf numFmtId="0" fontId="19" fillId="8" borderId="9" applyNumberFormat="0" applyAlignment="0" applyProtection="0">
      <alignment vertical="center"/>
    </xf>
    <xf numFmtId="0" fontId="14" fillId="23" borderId="0" applyNumberFormat="0" applyBorder="0" applyAlignment="0" applyProtection="0">
      <alignment vertical="center"/>
    </xf>
    <xf numFmtId="0" fontId="6" fillId="0" borderId="4" applyNumberFormat="0" applyFill="0" applyAlignment="0" applyProtection="0">
      <alignment vertical="center"/>
    </xf>
    <xf numFmtId="0" fontId="12" fillId="0" borderId="0" applyNumberFormat="0" applyFill="0" applyBorder="0" applyAlignment="0" applyProtection="0">
      <alignment vertical="center"/>
    </xf>
    <xf numFmtId="0" fontId="7" fillId="0" borderId="3" applyNumberFormat="0" applyFill="0" applyAlignment="0" applyProtection="0">
      <alignment vertical="center"/>
    </xf>
    <xf numFmtId="177" fontId="0" fillId="0" borderId="0" applyFont="0" applyFill="0" applyBorder="0" applyAlignment="0" applyProtection="0">
      <alignment vertical="center"/>
    </xf>
    <xf numFmtId="0" fontId="3" fillId="22" borderId="0" applyNumberFormat="0" applyBorder="0" applyAlignment="0" applyProtection="0">
      <alignment vertical="center"/>
    </xf>
    <xf numFmtId="0" fontId="20"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0" borderId="3" applyNumberFormat="0" applyFill="0" applyAlignment="0" applyProtection="0">
      <alignment vertical="center"/>
    </xf>
    <xf numFmtId="178" fontId="0" fillId="0" borderId="0" applyFont="0" applyFill="0" applyBorder="0" applyAlignment="0" applyProtection="0">
      <alignment vertical="center"/>
    </xf>
    <xf numFmtId="0" fontId="2" fillId="4" borderId="2" applyNumberFormat="0" applyAlignment="0" applyProtection="0">
      <alignment vertical="center"/>
    </xf>
    <xf numFmtId="0" fontId="8" fillId="34" borderId="0" applyNumberFormat="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cellStyleXfs>
  <cellXfs count="9">
    <xf numFmtId="0" fontId="0" fillId="0" borderId="0" xfId="0"/>
    <xf numFmtId="0" fontId="0" fillId="0" borderId="0" xfId="0" applyAlignment="1">
      <alignment horizontal="left"/>
    </xf>
    <xf numFmtId="0" fontId="1" fillId="0" borderId="1" xfId="0" applyFont="1" applyBorder="1" applyAlignment="1">
      <alignment horizontal="left"/>
    </xf>
    <xf numFmtId="0" fontId="1" fillId="2" borderId="1" xfId="0" applyFont="1" applyFill="1" applyBorder="1" applyAlignment="1">
      <alignment horizontal="left"/>
    </xf>
    <xf numFmtId="0" fontId="0" fillId="3" borderId="1" xfId="0" applyFill="1" applyBorder="1" applyAlignment="1">
      <alignment horizontal="left"/>
    </xf>
    <xf numFmtId="176" fontId="0" fillId="0" borderId="0" xfId="0" applyNumberFormat="1" applyAlignment="1">
      <alignment horizontal="left"/>
    </xf>
    <xf numFmtId="0" fontId="0" fillId="2" borderId="0" xfId="0" applyNumberFormat="1" applyFill="1" applyAlignment="1">
      <alignment horizontal="left"/>
    </xf>
    <xf numFmtId="0" fontId="0" fillId="2" borderId="1" xfId="0" applyFill="1" applyBorder="1" applyAlignment="1">
      <alignment horizontal="left"/>
    </xf>
    <xf numFmtId="0" fontId="0" fillId="2" borderId="0" xfId="0"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
  <sheetViews>
    <sheetView tabSelected="1" zoomScale="120" zoomScaleNormal="120" workbookViewId="0">
      <selection activeCell="G10" sqref="G10"/>
    </sheetView>
  </sheetViews>
  <sheetFormatPr defaultColWidth="9" defaultRowHeight="15"/>
  <cols>
    <col min="1" max="1" width="19.625" style="1"/>
    <col min="2" max="2" width="12.625" style="1"/>
    <col min="3" max="8" width="9" style="1"/>
    <col min="9" max="9" width="24.375" style="1" customWidth="1"/>
    <col min="10" max="16384" width="9" style="1"/>
  </cols>
  <sheetData>
    <row r="1" spans="1:16">
      <c r="A1" s="2" t="s">
        <v>0</v>
      </c>
      <c r="B1" s="3" t="s">
        <v>1</v>
      </c>
      <c r="C1" s="4" t="s">
        <v>2</v>
      </c>
      <c r="D1" s="4" t="s">
        <v>3</v>
      </c>
      <c r="E1" s="4" t="s">
        <v>4</v>
      </c>
      <c r="F1" s="4" t="s">
        <v>5</v>
      </c>
      <c r="G1" s="4" t="s">
        <v>6</v>
      </c>
      <c r="H1" s="7" t="s">
        <v>7</v>
      </c>
      <c r="I1" s="4" t="s">
        <v>8</v>
      </c>
      <c r="J1" s="7" t="s">
        <v>9</v>
      </c>
      <c r="K1" s="4" t="s">
        <v>10</v>
      </c>
      <c r="L1" s="4" t="s">
        <v>11</v>
      </c>
      <c r="M1" s="4" t="s">
        <v>12</v>
      </c>
      <c r="N1" s="4" t="s">
        <v>13</v>
      </c>
      <c r="O1" s="4" t="s">
        <v>14</v>
      </c>
      <c r="P1" s="4" t="s">
        <v>15</v>
      </c>
    </row>
    <row r="2" spans="1:16">
      <c r="A2" s="5">
        <f t="shared" ref="A2:A23" si="0">DATE(LEFT(I2,4),MID(I2,6,2),MID(I2,9,2))+TIME(MID(I2,12,2)+7,MID(I2,15,2),MID(I2,18,2))</f>
        <v>46176.4606481481</v>
      </c>
      <c r="B2" s="6" t="str">
        <f t="shared" ref="B2:B23" si="1">IF(AND(H2="agent",H1="customer"),ROUND((A2-A1)*3600*24,0),"")</f>
        <v/>
      </c>
      <c r="C2" s="1" t="s">
        <v>16</v>
      </c>
      <c r="D2" s="1" t="s">
        <v>17</v>
      </c>
      <c r="E2" s="1" t="s">
        <v>18</v>
      </c>
      <c r="F2" s="1" t="s">
        <v>19</v>
      </c>
      <c r="G2" s="1" t="s">
        <v>20</v>
      </c>
      <c r="H2" s="8" t="s">
        <v>21</v>
      </c>
      <c r="I2" s="1" t="s">
        <v>22</v>
      </c>
      <c r="J2" s="8" t="s">
        <v>23</v>
      </c>
      <c r="K2" s="1" t="s">
        <v>24</v>
      </c>
      <c r="L2" s="1" t="s">
        <v>25</v>
      </c>
      <c r="M2" s="1" t="s">
        <v>26</v>
      </c>
      <c r="N2" s="1" t="s">
        <v>27</v>
      </c>
      <c r="O2" s="1" t="s">
        <v>28</v>
      </c>
      <c r="P2" s="1" t="s">
        <v>29</v>
      </c>
    </row>
    <row r="3" spans="1:16">
      <c r="A3" s="5">
        <f t="shared" si="0"/>
        <v>46176.4597337963</v>
      </c>
      <c r="B3" s="6" t="str">
        <f t="shared" si="1"/>
        <v/>
      </c>
      <c r="C3" s="1" t="s">
        <v>16</v>
      </c>
      <c r="D3" s="1" t="s">
        <v>17</v>
      </c>
      <c r="E3" s="1" t="s">
        <v>18</v>
      </c>
      <c r="F3" s="1" t="s">
        <v>19</v>
      </c>
      <c r="G3" s="1" t="s">
        <v>20</v>
      </c>
      <c r="H3" s="8" t="s">
        <v>21</v>
      </c>
      <c r="I3" s="1" t="s">
        <v>30</v>
      </c>
      <c r="J3" s="8" t="s">
        <v>31</v>
      </c>
      <c r="K3" s="1" t="s">
        <v>24</v>
      </c>
      <c r="L3" s="1" t="s">
        <v>32</v>
      </c>
      <c r="M3" s="1" t="s">
        <v>26</v>
      </c>
      <c r="N3" s="1" t="s">
        <v>27</v>
      </c>
      <c r="O3" s="1" t="s">
        <v>28</v>
      </c>
      <c r="P3" s="1" t="s">
        <v>29</v>
      </c>
    </row>
    <row r="4" spans="1:16">
      <c r="A4" s="5">
        <f t="shared" si="0"/>
        <v>46176.4597453704</v>
      </c>
      <c r="B4" s="6" t="str">
        <f t="shared" si="1"/>
        <v/>
      </c>
      <c r="C4" s="1" t="s">
        <v>16</v>
      </c>
      <c r="D4" s="1" t="s">
        <v>17</v>
      </c>
      <c r="E4" s="1" t="s">
        <v>33</v>
      </c>
      <c r="F4" s="1" t="s">
        <v>19</v>
      </c>
      <c r="G4" s="1" t="s">
        <v>20</v>
      </c>
      <c r="H4" s="8" t="s">
        <v>34</v>
      </c>
      <c r="I4" s="1" t="s">
        <v>35</v>
      </c>
      <c r="J4" s="8" t="s">
        <v>36</v>
      </c>
      <c r="K4" s="1" t="s">
        <v>24</v>
      </c>
      <c r="L4" s="1" t="s">
        <v>37</v>
      </c>
      <c r="M4" s="1" t="s">
        <v>26</v>
      </c>
      <c r="N4" s="1" t="s">
        <v>27</v>
      </c>
      <c r="O4" s="1" t="s">
        <v>28</v>
      </c>
      <c r="P4" s="1" t="s">
        <v>29</v>
      </c>
    </row>
    <row r="5" spans="1:16">
      <c r="A5" s="5">
        <f t="shared" si="0"/>
        <v>46176.4597569444</v>
      </c>
      <c r="B5" s="6" t="str">
        <f t="shared" si="1"/>
        <v/>
      </c>
      <c r="C5" s="1" t="s">
        <v>16</v>
      </c>
      <c r="D5" s="1" t="s">
        <v>17</v>
      </c>
      <c r="E5" s="1" t="s">
        <v>33</v>
      </c>
      <c r="F5" s="1" t="s">
        <v>19</v>
      </c>
      <c r="G5" s="1" t="s">
        <v>20</v>
      </c>
      <c r="H5" s="8" t="s">
        <v>34</v>
      </c>
      <c r="I5" s="1" t="s">
        <v>38</v>
      </c>
      <c r="J5" s="8" t="s">
        <v>39</v>
      </c>
      <c r="K5" s="1" t="s">
        <v>24</v>
      </c>
      <c r="L5" s="1" t="s">
        <v>40</v>
      </c>
      <c r="M5" s="1" t="s">
        <v>26</v>
      </c>
      <c r="N5" s="1" t="s">
        <v>27</v>
      </c>
      <c r="O5" s="1" t="s">
        <v>28</v>
      </c>
      <c r="P5" s="1" t="s">
        <v>29</v>
      </c>
    </row>
    <row r="6" spans="1:16">
      <c r="A6" s="5">
        <f t="shared" si="0"/>
        <v>46176.4604166667</v>
      </c>
      <c r="B6" s="6" t="str">
        <f t="shared" si="1"/>
        <v/>
      </c>
      <c r="C6" s="1" t="s">
        <v>16</v>
      </c>
      <c r="D6" s="1" t="s">
        <v>17</v>
      </c>
      <c r="E6" s="1" t="s">
        <v>18</v>
      </c>
      <c r="F6" s="1" t="s">
        <v>19</v>
      </c>
      <c r="G6" s="1" t="s">
        <v>20</v>
      </c>
      <c r="H6" s="8" t="s">
        <v>21</v>
      </c>
      <c r="I6" s="1" t="s">
        <v>41</v>
      </c>
      <c r="J6" s="8" t="s">
        <v>29</v>
      </c>
      <c r="K6" s="1" t="s">
        <v>42</v>
      </c>
      <c r="L6" s="1" t="s">
        <v>43</v>
      </c>
      <c r="M6" s="1" t="s">
        <v>26</v>
      </c>
      <c r="N6" s="1" t="s">
        <v>27</v>
      </c>
      <c r="O6" s="1" t="s">
        <v>28</v>
      </c>
      <c r="P6" s="1" t="s">
        <v>44</v>
      </c>
    </row>
    <row r="7" spans="1:16">
      <c r="A7" s="5">
        <f t="shared" si="0"/>
        <v>46176.4604282407</v>
      </c>
      <c r="B7" s="6" t="str">
        <f t="shared" si="1"/>
        <v/>
      </c>
      <c r="C7" s="1" t="s">
        <v>16</v>
      </c>
      <c r="D7" s="1" t="s">
        <v>17</v>
      </c>
      <c r="E7" s="1" t="s">
        <v>33</v>
      </c>
      <c r="F7" s="1" t="s">
        <v>19</v>
      </c>
      <c r="G7" s="1" t="s">
        <v>20</v>
      </c>
      <c r="H7" s="8" t="s">
        <v>34</v>
      </c>
      <c r="I7" s="1" t="s">
        <v>45</v>
      </c>
      <c r="J7" s="8" t="s">
        <v>46</v>
      </c>
      <c r="K7" s="1" t="s">
        <v>24</v>
      </c>
      <c r="L7" s="1" t="s">
        <v>47</v>
      </c>
      <c r="M7" s="1" t="s">
        <v>26</v>
      </c>
      <c r="N7" s="1" t="s">
        <v>27</v>
      </c>
      <c r="O7" s="1" t="s">
        <v>28</v>
      </c>
      <c r="P7" s="1" t="s">
        <v>29</v>
      </c>
    </row>
    <row r="8" spans="1:16">
      <c r="A8" s="5">
        <f t="shared" si="0"/>
        <v>46176.4604282407</v>
      </c>
      <c r="B8" s="6" t="str">
        <f t="shared" si="1"/>
        <v/>
      </c>
      <c r="C8" s="1" t="s">
        <v>16</v>
      </c>
      <c r="D8" s="1" t="s">
        <v>17</v>
      </c>
      <c r="E8" s="1" t="s">
        <v>33</v>
      </c>
      <c r="F8" s="1" t="s">
        <v>19</v>
      </c>
      <c r="G8" s="1" t="s">
        <v>20</v>
      </c>
      <c r="H8" s="8" t="s">
        <v>34</v>
      </c>
      <c r="I8" s="1" t="s">
        <v>45</v>
      </c>
      <c r="J8" s="8" t="s">
        <v>48</v>
      </c>
      <c r="K8" s="1" t="s">
        <v>24</v>
      </c>
      <c r="L8" s="1" t="s">
        <v>49</v>
      </c>
      <c r="M8" s="1" t="s">
        <v>26</v>
      </c>
      <c r="N8" s="1" t="s">
        <v>27</v>
      </c>
      <c r="O8" s="1" t="s">
        <v>28</v>
      </c>
      <c r="P8" s="1" t="s">
        <v>29</v>
      </c>
    </row>
    <row r="9" spans="1:16">
      <c r="A9" s="5">
        <f t="shared" si="0"/>
        <v>46176.4605324074</v>
      </c>
      <c r="B9" s="6" t="str">
        <f t="shared" si="1"/>
        <v/>
      </c>
      <c r="C9" s="1" t="s">
        <v>16</v>
      </c>
      <c r="D9" s="1" t="s">
        <v>17</v>
      </c>
      <c r="E9" s="1" t="s">
        <v>18</v>
      </c>
      <c r="F9" s="1" t="s">
        <v>19</v>
      </c>
      <c r="G9" s="1" t="s">
        <v>20</v>
      </c>
      <c r="H9" s="8" t="s">
        <v>21</v>
      </c>
      <c r="I9" s="1" t="s">
        <v>50</v>
      </c>
      <c r="J9" s="8" t="s">
        <v>51</v>
      </c>
      <c r="K9" s="1" t="s">
        <v>24</v>
      </c>
      <c r="L9" s="1" t="s">
        <v>52</v>
      </c>
      <c r="M9" s="1" t="s">
        <v>26</v>
      </c>
      <c r="N9" s="1" t="s">
        <v>27</v>
      </c>
      <c r="O9" s="1" t="s">
        <v>28</v>
      </c>
      <c r="P9" s="1" t="s">
        <v>29</v>
      </c>
    </row>
    <row r="10" spans="1:16">
      <c r="A10" s="5">
        <f t="shared" si="0"/>
        <v>46176.4605439815</v>
      </c>
      <c r="B10" s="6" t="str">
        <f t="shared" si="1"/>
        <v/>
      </c>
      <c r="C10" s="1" t="s">
        <v>16</v>
      </c>
      <c r="D10" s="1" t="s">
        <v>17</v>
      </c>
      <c r="E10" s="1" t="s">
        <v>33</v>
      </c>
      <c r="F10" s="1" t="s">
        <v>19</v>
      </c>
      <c r="G10" s="1" t="s">
        <v>20</v>
      </c>
      <c r="H10" s="8" t="s">
        <v>34</v>
      </c>
      <c r="I10" s="1" t="s">
        <v>53</v>
      </c>
      <c r="J10" s="8" t="s">
        <v>39</v>
      </c>
      <c r="K10" s="1" t="s">
        <v>24</v>
      </c>
      <c r="L10" s="1" t="s">
        <v>54</v>
      </c>
      <c r="M10" s="1" t="s">
        <v>26</v>
      </c>
      <c r="N10" s="1" t="s">
        <v>27</v>
      </c>
      <c r="O10" s="1" t="s">
        <v>28</v>
      </c>
      <c r="P10" s="1" t="s">
        <v>29</v>
      </c>
    </row>
    <row r="11" spans="1:16">
      <c r="A11" s="5">
        <f t="shared" si="0"/>
        <v>46176.4606481481</v>
      </c>
      <c r="B11" s="6" t="str">
        <f t="shared" si="1"/>
        <v/>
      </c>
      <c r="C11" s="1" t="s">
        <v>16</v>
      </c>
      <c r="D11" s="1" t="s">
        <v>17</v>
      </c>
      <c r="E11" s="1" t="s">
        <v>18</v>
      </c>
      <c r="F11" s="1" t="s">
        <v>19</v>
      </c>
      <c r="G11" s="1" t="s">
        <v>20</v>
      </c>
      <c r="H11" s="8" t="s">
        <v>21</v>
      </c>
      <c r="I11" s="1" t="s">
        <v>22</v>
      </c>
      <c r="J11" s="8" t="s">
        <v>55</v>
      </c>
      <c r="K11" s="1" t="s">
        <v>24</v>
      </c>
      <c r="L11" s="1" t="s">
        <v>56</v>
      </c>
      <c r="M11" s="1" t="s">
        <v>26</v>
      </c>
      <c r="N11" s="1" t="s">
        <v>27</v>
      </c>
      <c r="O11" s="1" t="s">
        <v>28</v>
      </c>
      <c r="P11" s="1" t="s">
        <v>29</v>
      </c>
    </row>
    <row r="12" spans="1:16">
      <c r="A12" s="5">
        <f t="shared" si="0"/>
        <v>46176.4606481481</v>
      </c>
      <c r="B12" s="6" t="str">
        <f t="shared" si="1"/>
        <v/>
      </c>
      <c r="C12" s="1" t="s">
        <v>16</v>
      </c>
      <c r="D12" s="1" t="s">
        <v>17</v>
      </c>
      <c r="E12" s="1" t="s">
        <v>33</v>
      </c>
      <c r="F12" s="1" t="s">
        <v>19</v>
      </c>
      <c r="G12" s="1" t="s">
        <v>20</v>
      </c>
      <c r="H12" s="8" t="s">
        <v>34</v>
      </c>
      <c r="I12" s="1" t="s">
        <v>22</v>
      </c>
      <c r="J12" s="8" t="s">
        <v>57</v>
      </c>
      <c r="K12" s="1" t="s">
        <v>24</v>
      </c>
      <c r="L12" s="1" t="s">
        <v>58</v>
      </c>
      <c r="M12" s="1" t="s">
        <v>26</v>
      </c>
      <c r="N12" s="1" t="s">
        <v>27</v>
      </c>
      <c r="O12" s="1" t="s">
        <v>28</v>
      </c>
      <c r="P12" s="1" t="s">
        <v>29</v>
      </c>
    </row>
    <row r="13" spans="1:16">
      <c r="A13" s="5">
        <f t="shared" si="0"/>
        <v>46176.4609837963</v>
      </c>
      <c r="B13" s="6" t="str">
        <f t="shared" si="1"/>
        <v/>
      </c>
      <c r="C13" s="1" t="s">
        <v>16</v>
      </c>
      <c r="D13" s="1" t="s">
        <v>17</v>
      </c>
      <c r="E13" s="1" t="s">
        <v>18</v>
      </c>
      <c r="F13" s="1" t="s">
        <v>19</v>
      </c>
      <c r="G13" s="1" t="s">
        <v>20</v>
      </c>
      <c r="H13" s="8" t="s">
        <v>21</v>
      </c>
      <c r="I13" s="1" t="s">
        <v>59</v>
      </c>
      <c r="J13" s="8" t="s">
        <v>60</v>
      </c>
      <c r="K13" s="1" t="s">
        <v>24</v>
      </c>
      <c r="L13" s="1" t="s">
        <v>61</v>
      </c>
      <c r="M13" s="1" t="s">
        <v>26</v>
      </c>
      <c r="N13" s="1" t="s">
        <v>27</v>
      </c>
      <c r="O13" s="1" t="s">
        <v>28</v>
      </c>
      <c r="P13" s="1" t="s">
        <v>29</v>
      </c>
    </row>
    <row r="14" spans="1:16">
      <c r="A14" s="5">
        <f t="shared" si="0"/>
        <v>46176.4897685185</v>
      </c>
      <c r="B14" s="6">
        <f t="shared" si="1"/>
        <v>2487</v>
      </c>
      <c r="C14" s="1" t="s">
        <v>16</v>
      </c>
      <c r="D14" s="1" t="s">
        <v>17</v>
      </c>
      <c r="E14" s="1" t="s">
        <v>62</v>
      </c>
      <c r="F14" s="1" t="s">
        <v>19</v>
      </c>
      <c r="G14" s="1" t="s">
        <v>20</v>
      </c>
      <c r="H14" s="8" t="s">
        <v>63</v>
      </c>
      <c r="I14" s="1" t="s">
        <v>64</v>
      </c>
      <c r="J14" s="8" t="s">
        <v>65</v>
      </c>
      <c r="K14" s="1" t="s">
        <v>24</v>
      </c>
      <c r="L14" s="1" t="s">
        <v>66</v>
      </c>
      <c r="M14" s="1" t="s">
        <v>26</v>
      </c>
      <c r="O14" s="1" t="s">
        <v>28</v>
      </c>
      <c r="P14" s="1" t="s">
        <v>29</v>
      </c>
    </row>
    <row r="15" spans="1:16">
      <c r="A15" s="5">
        <f t="shared" si="0"/>
        <v>46176.4899421296</v>
      </c>
      <c r="B15" s="6" t="str">
        <f t="shared" si="1"/>
        <v/>
      </c>
      <c r="C15" s="1" t="s">
        <v>16</v>
      </c>
      <c r="D15" s="1" t="s">
        <v>17</v>
      </c>
      <c r="E15" s="1" t="s">
        <v>62</v>
      </c>
      <c r="F15" s="1" t="s">
        <v>19</v>
      </c>
      <c r="G15" s="1" t="s">
        <v>20</v>
      </c>
      <c r="H15" s="8" t="s">
        <v>63</v>
      </c>
      <c r="I15" s="1" t="s">
        <v>67</v>
      </c>
      <c r="J15" s="8" t="s">
        <v>68</v>
      </c>
      <c r="K15" s="1" t="s">
        <v>24</v>
      </c>
      <c r="L15" s="1" t="s">
        <v>69</v>
      </c>
      <c r="M15" s="1" t="s">
        <v>26</v>
      </c>
      <c r="O15" s="1" t="s">
        <v>28</v>
      </c>
      <c r="P15" s="1" t="s">
        <v>29</v>
      </c>
    </row>
    <row r="16" spans="1:16">
      <c r="A16" s="5">
        <f t="shared" si="0"/>
        <v>46176.4902083333</v>
      </c>
      <c r="B16" s="6" t="str">
        <f t="shared" si="1"/>
        <v/>
      </c>
      <c r="C16" s="1" t="s">
        <v>16</v>
      </c>
      <c r="D16" s="1" t="s">
        <v>17</v>
      </c>
      <c r="E16" s="1" t="s">
        <v>62</v>
      </c>
      <c r="F16" s="1" t="s">
        <v>19</v>
      </c>
      <c r="G16" s="1" t="s">
        <v>20</v>
      </c>
      <c r="H16" s="8" t="s">
        <v>63</v>
      </c>
      <c r="I16" s="1" t="s">
        <v>70</v>
      </c>
      <c r="J16" s="8" t="s">
        <v>71</v>
      </c>
      <c r="K16" s="1" t="s">
        <v>24</v>
      </c>
      <c r="L16" s="1" t="s">
        <v>72</v>
      </c>
      <c r="M16" s="1" t="s">
        <v>26</v>
      </c>
      <c r="O16" s="1" t="s">
        <v>28</v>
      </c>
      <c r="P16" s="1" t="s">
        <v>29</v>
      </c>
    </row>
    <row r="17" spans="1:16">
      <c r="A17" s="5">
        <f t="shared" si="0"/>
        <v>46176.4909259259</v>
      </c>
      <c r="B17" s="6" t="str">
        <f t="shared" si="1"/>
        <v/>
      </c>
      <c r="C17" s="1" t="s">
        <v>16</v>
      </c>
      <c r="D17" s="1" t="s">
        <v>17</v>
      </c>
      <c r="E17" s="1" t="s">
        <v>18</v>
      </c>
      <c r="F17" s="1" t="s">
        <v>19</v>
      </c>
      <c r="G17" s="1" t="s">
        <v>20</v>
      </c>
      <c r="H17" s="8" t="s">
        <v>21</v>
      </c>
      <c r="I17" s="1" t="s">
        <v>73</v>
      </c>
      <c r="J17" s="8" t="s">
        <v>74</v>
      </c>
      <c r="K17" s="1" t="s">
        <v>24</v>
      </c>
      <c r="L17" s="1" t="s">
        <v>75</v>
      </c>
      <c r="M17" s="1" t="s">
        <v>26</v>
      </c>
      <c r="N17" s="1" t="s">
        <v>27</v>
      </c>
      <c r="O17" s="1" t="s">
        <v>28</v>
      </c>
      <c r="P17" s="1" t="s">
        <v>29</v>
      </c>
    </row>
    <row r="18" spans="1:16">
      <c r="A18" s="5">
        <f t="shared" si="0"/>
        <v>46176.4931018519</v>
      </c>
      <c r="B18" s="6">
        <f t="shared" si="1"/>
        <v>188</v>
      </c>
      <c r="C18" s="1" t="s">
        <v>16</v>
      </c>
      <c r="D18" s="1" t="s">
        <v>17</v>
      </c>
      <c r="E18" s="1" t="s">
        <v>62</v>
      </c>
      <c r="F18" s="1" t="s">
        <v>19</v>
      </c>
      <c r="G18" s="1" t="s">
        <v>20</v>
      </c>
      <c r="H18" s="8" t="s">
        <v>63</v>
      </c>
      <c r="I18" s="1" t="s">
        <v>76</v>
      </c>
      <c r="J18" s="8" t="s">
        <v>77</v>
      </c>
      <c r="K18" s="1" t="s">
        <v>24</v>
      </c>
      <c r="L18" s="1" t="s">
        <v>78</v>
      </c>
      <c r="M18" s="1" t="s">
        <v>26</v>
      </c>
      <c r="O18" s="1" t="s">
        <v>28</v>
      </c>
      <c r="P18" s="1" t="s">
        <v>29</v>
      </c>
    </row>
    <row r="19" spans="1:16">
      <c r="A19" s="5">
        <f t="shared" si="0"/>
        <v>46176.4937037037</v>
      </c>
      <c r="B19" s="6" t="str">
        <f t="shared" si="1"/>
        <v/>
      </c>
      <c r="C19" s="1" t="s">
        <v>16</v>
      </c>
      <c r="D19" s="1" t="s">
        <v>17</v>
      </c>
      <c r="E19" s="1" t="s">
        <v>18</v>
      </c>
      <c r="F19" s="1" t="s">
        <v>19</v>
      </c>
      <c r="G19" s="1" t="s">
        <v>20</v>
      </c>
      <c r="H19" s="8" t="s">
        <v>21</v>
      </c>
      <c r="I19" s="1" t="s">
        <v>79</v>
      </c>
      <c r="J19" s="8" t="s">
        <v>80</v>
      </c>
      <c r="K19" s="1" t="s">
        <v>24</v>
      </c>
      <c r="L19" s="1" t="s">
        <v>81</v>
      </c>
      <c r="M19" s="1" t="s">
        <v>26</v>
      </c>
      <c r="N19" s="1" t="s">
        <v>27</v>
      </c>
      <c r="O19" s="1" t="s">
        <v>28</v>
      </c>
      <c r="P19" s="1" t="s">
        <v>29</v>
      </c>
    </row>
    <row r="20" spans="1:16">
      <c r="A20" s="5">
        <f t="shared" si="0"/>
        <v>46176.4946180556</v>
      </c>
      <c r="B20" s="6">
        <f t="shared" si="1"/>
        <v>79</v>
      </c>
      <c r="C20" s="1" t="s">
        <v>16</v>
      </c>
      <c r="D20" s="1" t="s">
        <v>17</v>
      </c>
      <c r="E20" s="1" t="s">
        <v>62</v>
      </c>
      <c r="F20" s="1" t="s">
        <v>19</v>
      </c>
      <c r="G20" s="1" t="s">
        <v>20</v>
      </c>
      <c r="H20" s="8" t="s">
        <v>63</v>
      </c>
      <c r="I20" s="1" t="s">
        <v>82</v>
      </c>
      <c r="J20" s="8" t="s">
        <v>83</v>
      </c>
      <c r="K20" s="1" t="s">
        <v>24</v>
      </c>
      <c r="L20" s="1" t="s">
        <v>84</v>
      </c>
      <c r="M20" s="1" t="s">
        <v>26</v>
      </c>
      <c r="O20" s="1" t="s">
        <v>28</v>
      </c>
      <c r="P20" s="1" t="s">
        <v>29</v>
      </c>
    </row>
    <row r="21" spans="1:16">
      <c r="A21" s="5">
        <f t="shared" si="0"/>
        <v>46176.4958912037</v>
      </c>
      <c r="B21" s="6" t="str">
        <f t="shared" si="1"/>
        <v/>
      </c>
      <c r="C21" s="1" t="s">
        <v>16</v>
      </c>
      <c r="D21" s="1" t="s">
        <v>17</v>
      </c>
      <c r="E21" s="1" t="s">
        <v>62</v>
      </c>
      <c r="F21" s="1" t="s">
        <v>19</v>
      </c>
      <c r="G21" s="1" t="s">
        <v>20</v>
      </c>
      <c r="H21" s="8" t="s">
        <v>63</v>
      </c>
      <c r="I21" s="1" t="s">
        <v>85</v>
      </c>
      <c r="J21" s="8" t="s">
        <v>86</v>
      </c>
      <c r="K21" s="1" t="s">
        <v>24</v>
      </c>
      <c r="L21" s="1" t="s">
        <v>87</v>
      </c>
      <c r="M21" s="1" t="s">
        <v>26</v>
      </c>
      <c r="O21" s="1" t="s">
        <v>28</v>
      </c>
      <c r="P21" s="1" t="s">
        <v>29</v>
      </c>
    </row>
    <row r="22" spans="1:16">
      <c r="A22" s="5">
        <f t="shared" si="0"/>
        <v>46176.4959027778</v>
      </c>
      <c r="B22" s="6" t="str">
        <f t="shared" si="1"/>
        <v/>
      </c>
      <c r="C22" s="1" t="s">
        <v>16</v>
      </c>
      <c r="D22" s="1" t="s">
        <v>17</v>
      </c>
      <c r="E22" s="1" t="s">
        <v>62</v>
      </c>
      <c r="F22" s="1" t="s">
        <v>19</v>
      </c>
      <c r="G22" s="1" t="s">
        <v>20</v>
      </c>
      <c r="H22" s="8" t="s">
        <v>63</v>
      </c>
      <c r="I22" s="1" t="s">
        <v>88</v>
      </c>
      <c r="J22" s="8" t="s">
        <v>89</v>
      </c>
      <c r="K22" s="1" t="s">
        <v>24</v>
      </c>
      <c r="L22" s="1" t="s">
        <v>90</v>
      </c>
      <c r="M22" s="1" t="s">
        <v>26</v>
      </c>
      <c r="O22" s="1" t="s">
        <v>28</v>
      </c>
      <c r="P22" s="1" t="s">
        <v>29</v>
      </c>
    </row>
    <row r="23" spans="1:16">
      <c r="A23" s="5">
        <f t="shared" si="0"/>
        <v>46176.4962847222</v>
      </c>
      <c r="B23" s="6" t="str">
        <f t="shared" si="1"/>
        <v/>
      </c>
      <c r="C23" s="1" t="s">
        <v>16</v>
      </c>
      <c r="D23" s="1" t="s">
        <v>17</v>
      </c>
      <c r="E23" s="1" t="s">
        <v>18</v>
      </c>
      <c r="F23" s="1" t="s">
        <v>19</v>
      </c>
      <c r="G23" s="1" t="s">
        <v>20</v>
      </c>
      <c r="H23" s="8" t="s">
        <v>21</v>
      </c>
      <c r="I23" s="1" t="s">
        <v>91</v>
      </c>
      <c r="J23" s="8" t="s">
        <v>92</v>
      </c>
      <c r="K23" s="1" t="s">
        <v>24</v>
      </c>
      <c r="L23" s="1" t="s">
        <v>93</v>
      </c>
      <c r="M23" s="1" t="s">
        <v>26</v>
      </c>
      <c r="N23" s="1" t="s">
        <v>27</v>
      </c>
      <c r="O23" s="1" t="s">
        <v>28</v>
      </c>
      <c r="P23" s="1" t="s">
        <v>29</v>
      </c>
    </row>
  </sheetData>
  <autoFilter ref="C1:H1">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Main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csastrawiguna</cp:lastModifiedBy>
  <dcterms:created xsi:type="dcterms:W3CDTF">2026-06-04T02:17:00Z</dcterms:created>
  <dcterms:modified xsi:type="dcterms:W3CDTF">2026-06-06T17:50:02Z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